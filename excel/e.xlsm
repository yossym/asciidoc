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744" yWindow="1248" windowWidth="23136" windowHeight="13056"/>
  </bookViews>
  <sheets>
    <sheet name="Sheet" sheetId="1" r:id="rId1"/>
    <sheet name="お試し" sheetId="2" r:id="rId2"/>
    <sheet name="ListBox123789" sheetId="4" r:id="rId3"/>
    <sheet name="ChartType" sheetId="5" r:id="rId4"/>
    <sheet name="profile" sheetId="6" r:id="rId5"/>
  </sheets>
  <calcPr calcId="145621"/>
</workbook>
</file>

<file path=xl/calcChain.xml><?xml version="1.0" encoding="utf-8"?>
<calcChain xmlns="http://schemas.openxmlformats.org/spreadsheetml/2006/main">
  <c r="A3" i="1" l="1"/>
  <c r="A2" i="1"/>
  <c r="A1" i="1"/>
  <c r="L137" i="2" l="1"/>
  <c r="K137" i="2"/>
  <c r="J137" i="2"/>
  <c r="I137" i="2"/>
  <c r="H137" i="2"/>
  <c r="G137" i="2"/>
  <c r="F137" i="2"/>
  <c r="E137" i="2"/>
  <c r="D137" i="2"/>
  <c r="C137" i="2"/>
  <c r="I136" i="2"/>
  <c r="H136" i="2"/>
  <c r="C136" i="2"/>
  <c r="L134" i="2"/>
  <c r="K134" i="2"/>
  <c r="J134" i="2"/>
  <c r="I134" i="2"/>
  <c r="H134" i="2"/>
  <c r="G134" i="2"/>
  <c r="F134" i="2"/>
  <c r="E134" i="2"/>
  <c r="D134" i="2"/>
  <c r="C134" i="2"/>
  <c r="D27" i="2"/>
  <c r="D28" i="2" s="1"/>
  <c r="C28" i="2" s="1"/>
  <c r="D23" i="2"/>
  <c r="D25" i="2" s="1"/>
  <c r="C25" i="2" s="1"/>
  <c r="S21" i="2"/>
  <c r="R21" i="2"/>
  <c r="Q21" i="2"/>
  <c r="P21" i="2"/>
  <c r="O21" i="2"/>
  <c r="N21" i="2"/>
  <c r="M21" i="2"/>
  <c r="L21" i="2"/>
  <c r="K21" i="2"/>
  <c r="J21" i="2"/>
  <c r="I21" i="2"/>
  <c r="R20" i="2"/>
  <c r="Q20" i="2"/>
  <c r="P20" i="2"/>
  <c r="O20" i="2"/>
  <c r="N20" i="2"/>
  <c r="M20" i="2"/>
  <c r="L20" i="2"/>
  <c r="K20" i="2"/>
  <c r="J20" i="2"/>
  <c r="I20" i="2"/>
  <c r="S19" i="2"/>
  <c r="R19" i="2"/>
  <c r="Q19" i="2"/>
  <c r="P19" i="2"/>
  <c r="O19" i="2"/>
  <c r="N19" i="2"/>
  <c r="M19" i="2"/>
  <c r="L19" i="2"/>
  <c r="K19" i="2"/>
  <c r="J19" i="2"/>
  <c r="I19" i="2"/>
  <c r="S18" i="2"/>
  <c r="R18" i="2"/>
  <c r="Q18" i="2"/>
  <c r="P18" i="2"/>
  <c r="O18" i="2"/>
  <c r="N18" i="2"/>
  <c r="M18" i="2"/>
  <c r="L18" i="2"/>
  <c r="K18" i="2"/>
  <c r="J18" i="2"/>
  <c r="I18" i="2"/>
  <c r="S17" i="2"/>
  <c r="R17" i="2"/>
  <c r="Q17" i="2"/>
  <c r="P17" i="2"/>
  <c r="O17" i="2"/>
  <c r="N17" i="2"/>
  <c r="M17" i="2"/>
  <c r="L17" i="2"/>
  <c r="K17" i="2"/>
  <c r="J17" i="2"/>
  <c r="I17" i="2"/>
  <c r="S16" i="2"/>
  <c r="R16" i="2"/>
  <c r="Q16" i="2"/>
  <c r="P16" i="2"/>
  <c r="O16" i="2"/>
  <c r="N16" i="2"/>
  <c r="M16" i="2"/>
  <c r="L16" i="2"/>
  <c r="K16" i="2"/>
  <c r="J16" i="2"/>
  <c r="I16" i="2"/>
  <c r="S15" i="2"/>
  <c r="R15" i="2"/>
  <c r="Q15" i="2"/>
  <c r="P15" i="2"/>
  <c r="O15" i="2"/>
  <c r="N15" i="2"/>
  <c r="M15" i="2"/>
  <c r="L15" i="2"/>
  <c r="K15" i="2"/>
  <c r="J15" i="2"/>
  <c r="I15" i="2"/>
  <c r="S14" i="2"/>
  <c r="R14" i="2"/>
  <c r="Q14" i="2"/>
  <c r="P14" i="2"/>
  <c r="O14" i="2"/>
  <c r="N14" i="2"/>
  <c r="M14" i="2"/>
  <c r="L14" i="2"/>
  <c r="K14" i="2"/>
  <c r="J14" i="2"/>
  <c r="I14" i="2"/>
  <c r="S13" i="2"/>
  <c r="R13" i="2"/>
  <c r="Q13" i="2"/>
  <c r="P13" i="2"/>
  <c r="O13" i="2"/>
  <c r="N13" i="2"/>
  <c r="M13" i="2"/>
  <c r="L13" i="2"/>
  <c r="K13" i="2"/>
  <c r="J13" i="2"/>
  <c r="I13" i="2"/>
  <c r="S12" i="2"/>
  <c r="R12" i="2"/>
  <c r="Q12" i="2"/>
  <c r="P12" i="2"/>
  <c r="O12" i="2"/>
  <c r="N12" i="2"/>
  <c r="M12" i="2"/>
  <c r="L12" i="2"/>
  <c r="K12" i="2"/>
  <c r="J12" i="2"/>
  <c r="I12" i="2"/>
  <c r="A1" i="2"/>
  <c r="AA27" i="1"/>
  <c r="AA29" i="1" s="1"/>
  <c r="Z29" i="1" s="1"/>
  <c r="AA23" i="1"/>
  <c r="AA25" i="1" s="1"/>
  <c r="Z25" i="1" s="1"/>
  <c r="X1" i="1"/>
  <c r="D29" i="2" l="1"/>
  <c r="C29" i="2" s="1"/>
  <c r="AA24" i="1"/>
  <c r="Z24" i="1" s="1"/>
  <c r="AA28" i="1"/>
  <c r="Z28" i="1" s="1"/>
  <c r="D24" i="2"/>
  <c r="C24" i="2" s="1"/>
</calcChain>
</file>

<file path=xl/sharedStrings.xml><?xml version="1.0" encoding="utf-8"?>
<sst xmlns="http://schemas.openxmlformats.org/spreadsheetml/2006/main" count="278" uniqueCount="233">
  <si>
    <t>w</t>
    <phoneticPr fontId="1"/>
  </si>
  <si>
    <t>x</t>
    <phoneticPr fontId="1"/>
  </si>
  <si>
    <t>s</t>
    <phoneticPr fontId="1"/>
  </si>
  <si>
    <t>f</t>
    <phoneticPr fontId="1"/>
  </si>
  <si>
    <t>title</t>
    <phoneticPr fontId="1"/>
  </si>
  <si>
    <t>ｆ</t>
    <phoneticPr fontId="1"/>
  </si>
  <si>
    <t>赤</t>
    <rPh sb="0" eb="1">
      <t>アカ</t>
    </rPh>
    <phoneticPr fontId="1"/>
  </si>
  <si>
    <t>黄</t>
    <rPh sb="0" eb="1">
      <t>キ</t>
    </rPh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</si>
  <si>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</si>
  <si>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</si>
  <si>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橙</t>
    <rPh sb="0" eb="1">
      <t>ダイダイ</t>
    </rPh>
    <phoneticPr fontId="1"/>
  </si>
  <si>
    <t>茶</t>
    <rPh sb="0" eb="1">
      <t>チャ</t>
    </rPh>
    <phoneticPr fontId="1"/>
  </si>
  <si>
    <t>藍</t>
    <rPh sb="0" eb="1">
      <t>アイ</t>
    </rPh>
    <phoneticPr fontId="1"/>
  </si>
  <si>
    <t>紫</t>
    <rPh sb="0" eb="1">
      <t>ムラサキ</t>
    </rPh>
    <phoneticPr fontId="1"/>
  </si>
  <si>
    <t>灰</t>
    <rPh sb="0" eb="1">
      <t>ハイ</t>
    </rPh>
    <phoneticPr fontId="1"/>
  </si>
  <si>
    <t>白</t>
    <rPh sb="0" eb="1">
      <t>シロ</t>
    </rPh>
    <phoneticPr fontId="1"/>
  </si>
  <si>
    <t>黒</t>
    <rPh sb="0" eb="1">
      <t>クロ</t>
    </rPh>
    <phoneticPr fontId="1"/>
  </si>
  <si>
    <t>aa</t>
    <phoneticPr fontId="1"/>
  </si>
  <si>
    <t>Name</t>
    <phoneticPr fontId="1"/>
  </si>
  <si>
    <t>タイトル</t>
    <phoneticPr fontId="1"/>
  </si>
  <si>
    <t>グラフ</t>
    <phoneticPr fontId="1"/>
  </si>
  <si>
    <t>種類</t>
    <phoneticPr fontId="1"/>
  </si>
  <si>
    <t>幅</t>
    <phoneticPr fontId="1"/>
  </si>
  <si>
    <t>高</t>
    <phoneticPr fontId="1"/>
  </si>
  <si>
    <t>x軸最小</t>
    <phoneticPr fontId="1"/>
  </si>
  <si>
    <t>x軸最大</t>
    <phoneticPr fontId="1"/>
  </si>
  <si>
    <t>Y軸最小</t>
    <phoneticPr fontId="1"/>
  </si>
  <si>
    <t>Y軸最大</t>
    <phoneticPr fontId="1"/>
  </si>
  <si>
    <t>値</t>
  </si>
  <si>
    <t>xl3DArea</t>
  </si>
  <si>
    <t>3-D 面</t>
  </si>
  <si>
    <t>xl3DAreaStacked</t>
  </si>
  <si>
    <t>3-D 積み上げ面</t>
  </si>
  <si>
    <t>xl3DAreaStacked100</t>
  </si>
  <si>
    <t>100% 積み上げ面</t>
  </si>
  <si>
    <t>xl3DBarClustered</t>
  </si>
  <si>
    <t>3-D 集合横棒</t>
  </si>
  <si>
    <t>xl3DBarStacked</t>
  </si>
  <si>
    <t>3-D 積み上げ横棒</t>
  </si>
  <si>
    <t>xl3DBarStacked100</t>
  </si>
  <si>
    <t>3-D 100% 積み上げ横棒</t>
  </si>
  <si>
    <t>xl3DColumn</t>
  </si>
  <si>
    <t>3-D 縦棒</t>
  </si>
  <si>
    <t>xl3DColumnClustered</t>
  </si>
  <si>
    <t>3-D 集合縦棒</t>
  </si>
  <si>
    <t>xl3DColumnStacked</t>
  </si>
  <si>
    <t>3-D 積み上げ縦棒</t>
  </si>
  <si>
    <t>xl3DColumnStacked100</t>
  </si>
  <si>
    <t>3-D 100% 積み上げ縦棒</t>
  </si>
  <si>
    <t>xl3DLine</t>
  </si>
  <si>
    <t>3-D 折れ線</t>
  </si>
  <si>
    <t>xl3DPie</t>
  </si>
  <si>
    <t>3-D 円</t>
  </si>
  <si>
    <t>xl3DPieExploded</t>
  </si>
  <si>
    <t>分割 3-D 円</t>
  </si>
  <si>
    <t>xlArea</t>
  </si>
  <si>
    <t>積み上げ面</t>
  </si>
  <si>
    <t>xlAreaStacked100</t>
  </si>
  <si>
    <t>xlBarClustered</t>
  </si>
  <si>
    <t>集合横棒</t>
  </si>
  <si>
    <t>xlBarOfPie</t>
  </si>
  <si>
    <t>補助縦棒グラフ付き円</t>
  </si>
  <si>
    <t>xlBarStacked</t>
  </si>
  <si>
    <t>積み上げ横棒</t>
  </si>
  <si>
    <t>xlBarStacked100</t>
  </si>
  <si>
    <t>100% 積み上げ横棒</t>
  </si>
  <si>
    <t>xlBubble</t>
  </si>
  <si>
    <t>バブル</t>
  </si>
  <si>
    <t>xlBubble3DEffect</t>
  </si>
  <si>
    <t>3-D 効果付きバブル</t>
  </si>
  <si>
    <t>xlColumnClustered</t>
  </si>
  <si>
    <t>集合縦棒</t>
  </si>
  <si>
    <t>xlColumnStacked</t>
  </si>
  <si>
    <t>積み上げ縦棒</t>
  </si>
  <si>
    <t>xlColumnStacked100</t>
  </si>
  <si>
    <t>100% 積み上げ縦棒</t>
  </si>
  <si>
    <t>xlConeBarClustered</t>
  </si>
  <si>
    <t>集合円錐型横棒</t>
  </si>
  <si>
    <t>xlConeBarStacked</t>
  </si>
  <si>
    <t>積み上げ円錐型横棒</t>
  </si>
  <si>
    <t>xlConeBarStacked100</t>
  </si>
  <si>
    <t>100% 積み上げ円錐型横棒</t>
  </si>
  <si>
    <t>xlConeCol</t>
  </si>
  <si>
    <t>3-D 円錐型縦棒</t>
  </si>
  <si>
    <t>xlConeColClustered</t>
  </si>
  <si>
    <t>集合円錐型縦棒</t>
  </si>
  <si>
    <t>xlConeColStacked</t>
  </si>
  <si>
    <t>積み上げ円錐型縦棒</t>
  </si>
  <si>
    <t>xlConeColStacked100</t>
  </si>
  <si>
    <t>100% 積み上げ円錐型縦棒</t>
  </si>
  <si>
    <t>xlCylinderBarClustered</t>
  </si>
  <si>
    <t>集合円柱型横棒</t>
  </si>
  <si>
    <t>xlCylinderBarStacked</t>
  </si>
  <si>
    <t>積み上げ円柱型横棒</t>
  </si>
  <si>
    <t>xlCylinderBarStacked100</t>
  </si>
  <si>
    <t>100% 積み上げ円柱型横棒</t>
  </si>
  <si>
    <t>xlCylinderCol</t>
  </si>
  <si>
    <t>3-D 円柱型縦棒</t>
  </si>
  <si>
    <t>xlCylinderColClustered</t>
  </si>
  <si>
    <t>xlCylinderColStacked</t>
  </si>
  <si>
    <t>xlCylinderColStacked100</t>
  </si>
  <si>
    <t>100% 積み上げ円柱型縦棒</t>
  </si>
  <si>
    <t>xlDoughnut</t>
  </si>
  <si>
    <t>ドーナツ</t>
  </si>
  <si>
    <t>xlDoughnutExploded</t>
  </si>
  <si>
    <t>分割ドーナツ</t>
  </si>
  <si>
    <t>xlLine</t>
  </si>
  <si>
    <t>折れ線</t>
  </si>
  <si>
    <t>xlLineMarkers</t>
  </si>
  <si>
    <t>マーカー付き折れ線</t>
  </si>
  <si>
    <t>xlLineMarkersStacked</t>
  </si>
  <si>
    <t>マーカー付き積み上げ折れ線</t>
  </si>
  <si>
    <t>xlLineMarkersStacked100</t>
  </si>
  <si>
    <t>マーカー付き 100% 積み上げ折れ線</t>
  </si>
  <si>
    <t>xlLineStacked</t>
  </si>
  <si>
    <t>積み上げ折れ線</t>
  </si>
  <si>
    <t>xlLineStacked100</t>
  </si>
  <si>
    <t>100% 積み上げ折れ線</t>
  </si>
  <si>
    <t>xlPie</t>
  </si>
  <si>
    <t>円</t>
  </si>
  <si>
    <t>xlPieExploded</t>
  </si>
  <si>
    <t>分割円</t>
  </si>
  <si>
    <t>xlPieOfPie</t>
  </si>
  <si>
    <t>補助円グラフ付き円</t>
  </si>
  <si>
    <t>xlPyramidBarClustered</t>
  </si>
  <si>
    <t>集合ピラミッド型横棒</t>
  </si>
  <si>
    <t>xlPyramidBarStacked</t>
  </si>
  <si>
    <t>積み上げピラミッド型横棒</t>
  </si>
  <si>
    <t>xlPyramidBarStacked100</t>
  </si>
  <si>
    <t>100% 積み上げピラミッド型横棒</t>
  </si>
  <si>
    <t>xlPyramidCol</t>
  </si>
  <si>
    <t>3-D ピラミッド型縦棒</t>
  </si>
  <si>
    <t>xlPyramidColClustered</t>
  </si>
  <si>
    <t>集合ピラミッド型縦棒</t>
  </si>
  <si>
    <t>xlPyramidColStacked</t>
  </si>
  <si>
    <t>積み上げピラミッド型縦棒</t>
  </si>
  <si>
    <t>xlPyramidColStacked100</t>
  </si>
  <si>
    <t>xlRadar</t>
  </si>
  <si>
    <t>レーダー</t>
  </si>
  <si>
    <t>塗りつぶしレーダー</t>
  </si>
  <si>
    <t>データ マーカー付きレーダー</t>
  </si>
  <si>
    <t>xlRegionMap</t>
  </si>
  <si>
    <t>マップグラフ。</t>
  </si>
  <si>
    <t>xlStockHLC</t>
  </si>
  <si>
    <t>高値 - 安値 - 終値</t>
  </si>
  <si>
    <t>xlStockOHLC</t>
  </si>
  <si>
    <t>始値 - 高値 - 安値 - 終値</t>
  </si>
  <si>
    <t>xlStockVHLC</t>
  </si>
  <si>
    <t>出来高 - 高値 - 安値 - 終値</t>
  </si>
  <si>
    <t>xlStockVOHLC</t>
  </si>
  <si>
    <t>出来高 - 始値 - 高値 - 安値 - 終値</t>
  </si>
  <si>
    <t>xlSurface</t>
  </si>
  <si>
    <t>3-D 表面</t>
  </si>
  <si>
    <t>xlSurfaceTopView</t>
  </si>
  <si>
    <t>表面 (トップ ビュー)</t>
  </si>
  <si>
    <t>xlSurfaceTopViewWireframe</t>
  </si>
  <si>
    <t>表面 (トップ ビュー - ワイヤーフレーム)</t>
  </si>
  <si>
    <t>xlSurfaceWireframe</t>
  </si>
  <si>
    <t>3-D 表面 (ワイヤーフレーム)</t>
  </si>
  <si>
    <t>xlXYScatter</t>
  </si>
  <si>
    <t>散布図</t>
  </si>
  <si>
    <t>xlXYScatterLines</t>
  </si>
  <si>
    <t>折れ線付き散布図</t>
  </si>
  <si>
    <t>xlXYScatterLinesNoMarkers</t>
  </si>
  <si>
    <t>折れ線付き散布図 (データ マーカーなし)</t>
  </si>
  <si>
    <t>xlXYScatterSmooth</t>
  </si>
  <si>
    <t>平滑線付き散布図</t>
  </si>
  <si>
    <t>xlXYScatterSmoothNoMarkers</t>
  </si>
  <si>
    <t>平滑線付き散布図 (データ マーカーなし)</t>
  </si>
  <si>
    <t>定数</t>
  </si>
  <si>
    <t>意味</t>
  </si>
  <si>
    <t>面</t>
  </si>
  <si>
    <t>xlAreaStacked</t>
  </si>
  <si>
    <t>xlRadarFilled</t>
  </si>
  <si>
    <t>xlRadarMarkers</t>
  </si>
  <si>
    <t>★</t>
    <phoneticPr fontId="1"/>
  </si>
  <si>
    <t>profile name</t>
    <phoneticPr fontId="1"/>
  </si>
  <si>
    <t>＋</t>
    <phoneticPr fontId="1"/>
  </si>
  <si>
    <t>右</t>
    <phoneticPr fontId="1"/>
  </si>
  <si>
    <t>-</t>
    <phoneticPr fontId="1"/>
  </si>
  <si>
    <t>スループット[bps]</t>
    <phoneticPr fontId="1"/>
  </si>
  <si>
    <t>↓</t>
    <phoneticPr fontId="1"/>
  </si>
  <si>
    <t>距離[m]</t>
    <phoneticPr fontId="1"/>
  </si>
  <si>
    <t>→</t>
    <phoneticPr fontId="1"/>
  </si>
  <si>
    <t>K25</t>
    <phoneticPr fontId="1"/>
  </si>
  <si>
    <t>hoge</t>
    <phoneticPr fontId="1"/>
  </si>
  <si>
    <t>軌道マップ</t>
    <phoneticPr fontId="1"/>
  </si>
  <si>
    <t>経過時間[sec]</t>
    <phoneticPr fontId="1"/>
  </si>
  <si>
    <t>C13</t>
    <phoneticPr fontId="1"/>
  </si>
  <si>
    <t>●</t>
    <phoneticPr fontId="1"/>
  </si>
  <si>
    <t>RTT</t>
    <phoneticPr fontId="1"/>
  </si>
  <si>
    <t>＋</t>
    <phoneticPr fontId="1"/>
  </si>
  <si>
    <t>右</t>
    <phoneticPr fontId="1"/>
  </si>
  <si>
    <t>-</t>
    <phoneticPr fontId="1"/>
  </si>
  <si>
    <t>E6</t>
    <phoneticPr fontId="1"/>
  </si>
  <si>
    <t>↓</t>
    <phoneticPr fontId="1"/>
  </si>
  <si>
    <t>RTT[ns]</t>
    <phoneticPr fontId="1"/>
  </si>
  <si>
    <t>CDF[%]</t>
    <phoneticPr fontId="1"/>
  </si>
  <si>
    <t>RTT2</t>
    <phoneticPr fontId="1"/>
  </si>
  <si>
    <t>auto</t>
    <phoneticPr fontId="1"/>
  </si>
  <si>
    <t>B15</t>
    <phoneticPr fontId="1"/>
  </si>
  <si>
    <t>→</t>
    <phoneticPr fontId="1"/>
  </si>
  <si>
    <t>CheckBox4</t>
    <phoneticPr fontId="1"/>
  </si>
  <si>
    <t>ComboBox1</t>
    <phoneticPr fontId="1"/>
  </si>
  <si>
    <t>ComboBox15</t>
    <phoneticPr fontId="1"/>
  </si>
  <si>
    <t>ComboBox21</t>
    <phoneticPr fontId="1"/>
  </si>
  <si>
    <t>ComboBox26</t>
    <phoneticPr fontId="1"/>
  </si>
  <si>
    <t>ComboBox27</t>
    <phoneticPr fontId="1"/>
  </si>
  <si>
    <t>ComboBox25</t>
    <phoneticPr fontId="1"/>
  </si>
  <si>
    <t>ComboBox29</t>
    <phoneticPr fontId="1"/>
  </si>
  <si>
    <t>ComboBox31</t>
    <phoneticPr fontId="1"/>
  </si>
  <si>
    <t>CheckBox14</t>
    <phoneticPr fontId="1"/>
  </si>
  <si>
    <t>CheckBox2</t>
    <phoneticPr fontId="1"/>
  </si>
  <si>
    <t>ComboBox16</t>
    <phoneticPr fontId="1"/>
  </si>
  <si>
    <t>ComboBox17</t>
    <phoneticPr fontId="1"/>
  </si>
  <si>
    <t>CheckBox1</t>
    <phoneticPr fontId="1"/>
  </si>
  <si>
    <t>CheckBox3</t>
    <phoneticPr fontId="1"/>
  </si>
  <si>
    <t>CheckBox5</t>
    <phoneticPr fontId="1"/>
  </si>
  <si>
    <t>ComboBox2</t>
    <phoneticPr fontId="1"/>
  </si>
  <si>
    <t>ComboBox3</t>
    <phoneticPr fontId="1"/>
  </si>
  <si>
    <t>CheckBox8</t>
    <phoneticPr fontId="1"/>
  </si>
  <si>
    <t>ComboBox10</t>
    <phoneticPr fontId="1"/>
  </si>
  <si>
    <t>ComboBox11</t>
    <phoneticPr fontId="1"/>
  </si>
  <si>
    <t>ComboBox12</t>
    <phoneticPr fontId="1"/>
  </si>
  <si>
    <t>ComboBox13</t>
    <phoneticPr fontId="1"/>
  </si>
  <si>
    <t>ComboBox14</t>
    <phoneticPr fontId="1"/>
  </si>
  <si>
    <t>ComboBox28</t>
    <phoneticPr fontId="1"/>
  </si>
  <si>
    <t>ComboBox30</t>
    <phoneticPr fontId="1"/>
  </si>
  <si>
    <t>CheckBox16</t>
    <phoneticPr fontId="1"/>
  </si>
  <si>
    <t>CheckBox17</t>
    <phoneticPr fontId="1"/>
  </si>
  <si>
    <t>Name</t>
    <phoneticPr fontId="1"/>
  </si>
  <si>
    <t>幅</t>
    <phoneticPr fontId="1"/>
  </si>
  <si>
    <t>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</si>
</sst>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39-419D-8551-9787FB3764A0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39-419D-8551-9787FB376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766208"/>
        <c:axId val="348767360"/>
      </c:scatterChart>
      <c:valAx>
        <c:axId val="34876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8767360"/>
        <c:crosses val="autoZero"/>
        <c:crossBetween val="midCat"/>
      </c:valAx>
      <c:valAx>
        <c:axId val="3487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876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44-407D-90DA-995A56A54588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44-407D-90DA-995A56A54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294912"/>
        <c:axId val="394295488"/>
      </c:scatterChart>
      <c:valAx>
        <c:axId val="39429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295488"/>
        <c:crosses val="autoZero"/>
        <c:crossBetween val="midCat"/>
      </c:valAx>
      <c:valAx>
        <c:axId val="39429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29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945-4EFE-AE81-65FE41AD90AA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945-4EFE-AE81-65FE41AD9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404096"/>
        <c:axId val="947421184"/>
      </c:scatterChart>
      <c:valAx>
        <c:axId val="94740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21184"/>
        <c:crosses val="autoZero"/>
        <c:crossBetween val="midCat"/>
      </c:valAx>
      <c:valAx>
        <c:axId val="94742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0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bubbleSize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A1-4A28-BEDC-542EF4D5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47423488"/>
        <c:axId val="947425216"/>
      </c:bubbleChart>
      <c:valAx>
        <c:axId val="94742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25216"/>
        <c:crosses val="autoZero"/>
        <c:crossBetween val="midCat"/>
      </c:valAx>
      <c:valAx>
        <c:axId val="94742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2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8B2-4A41-B1AF-FB73375F54D6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8B2-4A41-B1AF-FB73375F54D6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B2-4A41-B1AF-FB73375F54D6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8B2-4A41-B1AF-FB73375F54D6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8B2-4A41-B1AF-FB73375F54D6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8B2-4A41-B1AF-FB73375F54D6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C8B2-4A41-B1AF-FB73375F54D6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8B2-4A41-B1AF-FB73375F54D6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C8B2-4A41-B1AF-FB73375F54D6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8B2-4A41-B1AF-FB73375F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426944"/>
        <c:axId val="947427520"/>
      </c:scatterChart>
      <c:valAx>
        <c:axId val="9474269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27520"/>
        <c:crosses val="autoZero"/>
        <c:crossBetween val="midCat"/>
      </c:valAx>
      <c:valAx>
        <c:axId val="9474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742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B7-463B-9043-24A00A77F840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B7-463B-9043-24A00A77F840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B7-463B-9043-24A00A77F840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B7-463B-9043-24A00A77F840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AB7-463B-9043-24A00A77F840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DAB7-463B-9043-24A00A77F840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DAB7-463B-9043-24A00A77F840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DAB7-463B-9043-24A00A77F840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DAB7-463B-9043-24A00A77F840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DAB7-463B-9043-24A00A77F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616640"/>
        <c:axId val="956617792"/>
      </c:scatterChart>
      <c:valAx>
        <c:axId val="95661664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6617792"/>
        <c:crosses val="autoZero"/>
        <c:crossBetween val="midCat"/>
      </c:valAx>
      <c:valAx>
        <c:axId val="9566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66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70-40DC-9D22-9A6A2CFAC313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70-40DC-9D22-9A6A2CFAC313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70-40DC-9D22-9A6A2CFAC313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570-40DC-9D22-9A6A2CFAC313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570-40DC-9D22-9A6A2CFAC313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570-40DC-9D22-9A6A2CFAC313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570-40DC-9D22-9A6A2CFAC313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570-40DC-9D22-9A6A2CFAC313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570-40DC-9D22-9A6A2CFAC313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570-40DC-9D22-9A6A2CFA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390272"/>
        <c:axId val="959391424"/>
      </c:scatterChart>
      <c:valAx>
        <c:axId val="9593902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9391424"/>
        <c:crosses val="autoZero"/>
        <c:crossBetween val="midCat"/>
      </c:valAx>
      <c:valAx>
        <c:axId val="95939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939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1F-4B40-B7FA-B804594FB0AF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1F-4B40-B7FA-B804594FB0AF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61F-4B40-B7FA-B804594FB0AF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61F-4B40-B7FA-B804594FB0AF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61F-4B40-B7FA-B804594FB0AF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61F-4B40-B7FA-B804594FB0AF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461F-4B40-B7FA-B804594FB0AF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461F-4B40-B7FA-B804594FB0AF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61F-4B40-B7FA-B804594FB0AF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61F-4B40-B7FA-B804594FB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18464"/>
        <c:axId val="426919040"/>
      </c:scatterChart>
      <c:valAx>
        <c:axId val="42691846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6919040"/>
        <c:crosses val="autoZero"/>
        <c:crossBetween val="midCat"/>
      </c:valAx>
      <c:valAx>
        <c:axId val="4269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691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F0-42ED-9D42-6A307A4AA607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1F0-42ED-9D42-6A307A4AA607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1F0-42ED-9D42-6A307A4AA607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1F0-42ED-9D42-6A307A4AA607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1F0-42ED-9D42-6A307A4AA607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1F0-42ED-9D42-6A307A4AA607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A1F0-42ED-9D42-6A307A4AA607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A1F0-42ED-9D42-6A307A4AA607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1F0-42ED-9D42-6A307A4AA607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A1F0-42ED-9D42-6A307A4AA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21344"/>
        <c:axId val="426921920"/>
      </c:scatterChart>
      <c:valAx>
        <c:axId val="4269213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6921920"/>
        <c:crosses val="autoZero"/>
        <c:crossBetween val="midCat"/>
      </c:valAx>
      <c:valAx>
        <c:axId val="42692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6921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57-49C0-80AD-D6A57EC226D1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B57-49C0-80AD-D6A57EC226D1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B57-49C0-80AD-D6A57EC226D1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B57-49C0-80AD-D6A57EC226D1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B57-49C0-80AD-D6A57EC226D1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B57-49C0-80AD-D6A57EC226D1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2B57-49C0-80AD-D6A57EC226D1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2B57-49C0-80AD-D6A57EC226D1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2B57-49C0-80AD-D6A57EC226D1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2B57-49C0-80AD-D6A57EC22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70368"/>
        <c:axId val="426924224"/>
      </c:lineChart>
      <c:catAx>
        <c:axId val="36057036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6924224"/>
        <c:crosses val="autoZero"/>
        <c:auto val="1"/>
        <c:lblAlgn val="ctr"/>
        <c:lblOffset val="100"/>
        <c:noMultiLvlLbl val="0"/>
      </c:catAx>
      <c:valAx>
        <c:axId val="4269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05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FB-4D26-8060-C95863EBB7E9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9FB-4D26-8060-C95863EBB7E9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9FB-4D26-8060-C95863EBB7E9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9FB-4D26-8060-C95863EBB7E9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9FB-4D26-8060-C95863EBB7E9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39FB-4D26-8060-C95863EBB7E9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39FB-4D26-8060-C95863EBB7E9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39FB-4D26-8060-C95863EBB7E9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39FB-4D26-8060-C95863EBB7E9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39FB-4D26-8060-C95863EB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16192"/>
        <c:axId val="466256448"/>
      </c:lineChart>
      <c:catAx>
        <c:axId val="36141619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256448"/>
        <c:crosses val="autoZero"/>
        <c:auto val="1"/>
        <c:lblAlgn val="ctr"/>
        <c:lblOffset val="100"/>
        <c:noMultiLvlLbl val="0"/>
      </c:catAx>
      <c:valAx>
        <c:axId val="4662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14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E32-4F0C-8DA9-DB11222B77D8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E32-4F0C-8DA9-DB11222B77D8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32-4F0C-8DA9-DB11222B77D8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E32-4F0C-8DA9-DB11222B77D8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E32-4F0C-8DA9-DB11222B77D8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E32-4F0C-8DA9-DB11222B77D8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E32-4F0C-8DA9-DB11222B77D8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E32-4F0C-8DA9-DB11222B77D8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E32-4F0C-8DA9-DB11222B77D8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E32-4F0C-8DA9-DB11222B7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18240"/>
        <c:axId val="466258752"/>
      </c:lineChart>
      <c:catAx>
        <c:axId val="36141824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258752"/>
        <c:crosses val="autoZero"/>
        <c:auto val="1"/>
        <c:lblAlgn val="ctr"/>
        <c:lblOffset val="100"/>
        <c:noMultiLvlLbl val="0"/>
      </c:catAx>
      <c:valAx>
        <c:axId val="46625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141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43-4CB4-A47D-50F026FB82F0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43-4CB4-A47D-50F026FB82F0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343-4CB4-A47D-50F026FB82F0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43-4CB4-A47D-50F026FB82F0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43-4CB4-A47D-50F026FB82F0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343-4CB4-A47D-50F026FB82F0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1343-4CB4-A47D-50F026FB82F0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1343-4CB4-A47D-50F026FB82F0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1343-4CB4-A47D-50F026FB82F0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1343-4CB4-A47D-50F026FB8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75776"/>
        <c:axId val="466261056"/>
      </c:lineChart>
      <c:catAx>
        <c:axId val="40167577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261056"/>
        <c:crosses val="autoZero"/>
        <c:auto val="1"/>
        <c:lblAlgn val="ctr"/>
        <c:lblOffset val="100"/>
        <c:noMultiLvlLbl val="0"/>
      </c:catAx>
      <c:valAx>
        <c:axId val="4662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167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3</c:v>
                </c:pt>
                <c:pt idx="1">
                  <c:v>55</c:v>
                </c:pt>
                <c:pt idx="2">
                  <c:v>37</c:v>
                </c:pt>
                <c:pt idx="3">
                  <c:v>62</c:v>
                </c:pt>
                <c:pt idx="4">
                  <c:v>36</c:v>
                </c:pt>
                <c:pt idx="5">
                  <c:v>51</c:v>
                </c:pt>
                <c:pt idx="6">
                  <c:v>56</c:v>
                </c:pt>
                <c:pt idx="7">
                  <c:v>66</c:v>
                </c:pt>
                <c:pt idx="8">
                  <c:v>86</c:v>
                </c:pt>
                <c:pt idx="9">
                  <c:v>54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348-4375-BA99-E8A891514DA9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13</c:v>
                </c:pt>
                <c:pt idx="1">
                  <c:v>99</c:v>
                </c:pt>
                <c:pt idx="2">
                  <c:v>22</c:v>
                </c:pt>
                <c:pt idx="3">
                  <c:v>50</c:v>
                </c:pt>
                <c:pt idx="4">
                  <c:v>89</c:v>
                </c:pt>
                <c:pt idx="5">
                  <c:v>4</c:v>
                </c:pt>
                <c:pt idx="6">
                  <c:v>84</c:v>
                </c:pt>
                <c:pt idx="7">
                  <c:v>52</c:v>
                </c:pt>
                <c:pt idx="8">
                  <c:v>67</c:v>
                </c:pt>
                <c:pt idx="9">
                  <c:v>41</c:v>
                </c:pt>
                <c:pt idx="10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348-4375-BA99-E8A891514DA9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27</c:v>
                </c:pt>
                <c:pt idx="1">
                  <c:v>77</c:v>
                </c:pt>
                <c:pt idx="2">
                  <c:v>30</c:v>
                </c:pt>
                <c:pt idx="3">
                  <c:v>27</c:v>
                </c:pt>
                <c:pt idx="4">
                  <c:v>37</c:v>
                </c:pt>
                <c:pt idx="5">
                  <c:v>7</c:v>
                </c:pt>
                <c:pt idx="6">
                  <c:v>95</c:v>
                </c:pt>
                <c:pt idx="7">
                  <c:v>29</c:v>
                </c:pt>
                <c:pt idx="8">
                  <c:v>90</c:v>
                </c:pt>
                <c:pt idx="9">
                  <c:v>20</c:v>
                </c:pt>
                <c:pt idx="10">
                  <c:v>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348-4375-BA99-E8A891514DA9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13</c:v>
                </c:pt>
                <c:pt idx="1">
                  <c:v>78</c:v>
                </c:pt>
                <c:pt idx="2">
                  <c:v>20</c:v>
                </c:pt>
                <c:pt idx="3">
                  <c:v>15</c:v>
                </c:pt>
                <c:pt idx="4">
                  <c:v>5</c:v>
                </c:pt>
                <c:pt idx="5">
                  <c:v>71</c:v>
                </c:pt>
                <c:pt idx="6">
                  <c:v>99</c:v>
                </c:pt>
                <c:pt idx="7">
                  <c:v>1</c:v>
                </c:pt>
                <c:pt idx="8">
                  <c:v>69</c:v>
                </c:pt>
                <c:pt idx="9">
                  <c:v>69</c:v>
                </c:pt>
                <c:pt idx="10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348-4375-BA99-E8A891514DA9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9</c:v>
                </c:pt>
                <c:pt idx="1">
                  <c:v>58</c:v>
                </c:pt>
                <c:pt idx="2">
                  <c:v>44</c:v>
                </c:pt>
                <c:pt idx="3">
                  <c:v>71</c:v>
                </c:pt>
                <c:pt idx="4">
                  <c:v>39</c:v>
                </c:pt>
                <c:pt idx="5">
                  <c:v>69</c:v>
                </c:pt>
                <c:pt idx="6">
                  <c:v>19</c:v>
                </c:pt>
                <c:pt idx="7">
                  <c:v>32</c:v>
                </c:pt>
                <c:pt idx="8">
                  <c:v>24</c:v>
                </c:pt>
                <c:pt idx="9">
                  <c:v>87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348-4375-BA99-E8A891514DA9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78</c:v>
                </c:pt>
                <c:pt idx="1">
                  <c:v>73</c:v>
                </c:pt>
                <c:pt idx="2">
                  <c:v>92</c:v>
                </c:pt>
                <c:pt idx="3">
                  <c:v>72</c:v>
                </c:pt>
                <c:pt idx="4">
                  <c:v>15</c:v>
                </c:pt>
                <c:pt idx="5">
                  <c:v>78</c:v>
                </c:pt>
                <c:pt idx="6">
                  <c:v>90</c:v>
                </c:pt>
                <c:pt idx="7">
                  <c:v>70</c:v>
                </c:pt>
                <c:pt idx="8">
                  <c:v>82</c:v>
                </c:pt>
                <c:pt idx="9">
                  <c:v>21</c:v>
                </c:pt>
                <c:pt idx="10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348-4375-BA99-E8A891514DA9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73</c:v>
                </c:pt>
                <c:pt idx="1">
                  <c:v>86</c:v>
                </c:pt>
                <c:pt idx="2">
                  <c:v>49</c:v>
                </c:pt>
                <c:pt idx="3">
                  <c:v>14</c:v>
                </c:pt>
                <c:pt idx="4">
                  <c:v>72</c:v>
                </c:pt>
                <c:pt idx="5">
                  <c:v>93</c:v>
                </c:pt>
                <c:pt idx="6">
                  <c:v>45</c:v>
                </c:pt>
                <c:pt idx="7">
                  <c:v>64</c:v>
                </c:pt>
                <c:pt idx="8">
                  <c:v>8</c:v>
                </c:pt>
                <c:pt idx="9">
                  <c:v>81</c:v>
                </c:pt>
                <c:pt idx="10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5348-4375-BA99-E8A891514DA9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28</c:v>
                </c:pt>
                <c:pt idx="1">
                  <c:v>74</c:v>
                </c:pt>
                <c:pt idx="2">
                  <c:v>6</c:v>
                </c:pt>
                <c:pt idx="3">
                  <c:v>3</c:v>
                </c:pt>
                <c:pt idx="4">
                  <c:v>13</c:v>
                </c:pt>
                <c:pt idx="5">
                  <c:v>53</c:v>
                </c:pt>
                <c:pt idx="6">
                  <c:v>72</c:v>
                </c:pt>
                <c:pt idx="7">
                  <c:v>94</c:v>
                </c:pt>
                <c:pt idx="8">
                  <c:v>2</c:v>
                </c:pt>
                <c:pt idx="9">
                  <c:v>50</c:v>
                </c:pt>
                <c:pt idx="10">
                  <c:v>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5348-4375-BA99-E8A891514DA9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14</c:v>
                </c:pt>
                <c:pt idx="1">
                  <c:v>70</c:v>
                </c:pt>
                <c:pt idx="2">
                  <c:v>81</c:v>
                </c:pt>
                <c:pt idx="3">
                  <c:v>28</c:v>
                </c:pt>
                <c:pt idx="4">
                  <c:v>67</c:v>
                </c:pt>
                <c:pt idx="5">
                  <c:v>48</c:v>
                </c:pt>
                <c:pt idx="6">
                  <c:v>18</c:v>
                </c:pt>
                <c:pt idx="7">
                  <c:v>41</c:v>
                </c:pt>
                <c:pt idx="8">
                  <c:v>2</c:v>
                </c:pt>
                <c:pt idx="9">
                  <c:v>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5348-4375-BA99-E8A891514DA9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24</c:v>
                </c:pt>
                <c:pt idx="1">
                  <c:v>51</c:v>
                </c:pt>
                <c:pt idx="2">
                  <c:v>97</c:v>
                </c:pt>
                <c:pt idx="3">
                  <c:v>78</c:v>
                </c:pt>
                <c:pt idx="4">
                  <c:v>89</c:v>
                </c:pt>
                <c:pt idx="5">
                  <c:v>36</c:v>
                </c:pt>
                <c:pt idx="6">
                  <c:v>75</c:v>
                </c:pt>
                <c:pt idx="7">
                  <c:v>11</c:v>
                </c:pt>
                <c:pt idx="8">
                  <c:v>11</c:v>
                </c:pt>
                <c:pt idx="9">
                  <c:v>34</c:v>
                </c:pt>
                <c:pt idx="10">
                  <c:v>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5348-4375-BA99-E8A891514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77824"/>
        <c:axId val="466263360"/>
      </c:lineChart>
      <c:catAx>
        <c:axId val="40167782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263360"/>
        <c:crosses val="autoZero"/>
        <c:auto val="1"/>
        <c:lblAlgn val="ctr"/>
        <c:lblOffset val="100"/>
        <c:noMultiLvlLbl val="0"/>
      </c:catAx>
      <c:valAx>
        <c:axId val="46626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167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0</xdr:rowOff>
    </xdr:from>
    <xdr:to>
      <xdr:col>44</xdr:col>
      <xdr:colOff>1120</xdr:colOff>
      <xdr:row>25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xmlns="" id="{C76FDB74-2A43-4E94-A0EA-31FABD7F5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27</xdr:row>
      <xdr:rowOff>0</xdr:rowOff>
    </xdr:from>
    <xdr:to>
      <xdr:col>44</xdr:col>
      <xdr:colOff>1120</xdr:colOff>
      <xdr:row>47</xdr:row>
      <xdr:rowOff>1120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xmlns="" id="{1DE57831-835D-4061-85B0-0627D8EF5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49</xdr:row>
      <xdr:rowOff>0</xdr:rowOff>
    </xdr:from>
    <xdr:to>
      <xdr:col>44</xdr:col>
      <xdr:colOff>1120</xdr:colOff>
      <xdr:row>69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xmlns="" id="{07D3BCC2-8CA8-406D-9163-4E7317784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52</xdr:col>
      <xdr:colOff>0</xdr:colOff>
      <xdr:row>5</xdr:row>
      <xdr:rowOff>0</xdr:rowOff>
    </xdr:from>
    <xdr:to>
      <xdr:col>92</xdr:col>
      <xdr:colOff>1120</xdr:colOff>
      <xdr:row>25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xmlns="" id="{76C45AA7-4CCF-441E-8EE8-530C30B4E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0</xdr:rowOff>
    </xdr:from>
    <xdr:to>
      <xdr:col>14</xdr:col>
      <xdr:colOff>0</xdr:colOff>
      <xdr:row>25</xdr:row>
      <xdr:rowOff>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xmlns="" id="{050E1360-0CC8-4735-9DD1-089695AD3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27</xdr:row>
      <xdr:rowOff>0</xdr:rowOff>
    </xdr:from>
    <xdr:to>
      <xdr:col>14</xdr:col>
      <xdr:colOff>0</xdr:colOff>
      <xdr:row>47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xmlns="" id="{844C1A89-66B5-453D-9735-BC6B63E3E5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49</xdr:row>
      <xdr:rowOff>0</xdr:rowOff>
    </xdr:from>
    <xdr:to>
      <xdr:col>14</xdr:col>
      <xdr:colOff>0</xdr:colOff>
      <xdr:row>69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xmlns="" id="{D4F7CF00-A46E-41CC-92BA-E41F512B8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5</xdr:row>
      <xdr:rowOff>0</xdr:rowOff>
    </xdr:from>
    <xdr:to>
      <xdr:col>25</xdr:col>
      <xdr:colOff>0</xdr:colOff>
      <xdr:row>25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xmlns="" id="{4E33E254-B05A-47B8-A49B-E39FD5B04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0</xdr:colOff>
      <xdr:row>27</xdr:row>
      <xdr:rowOff>0</xdr:rowOff>
    </xdr:from>
    <xdr:to>
      <xdr:col>25</xdr:col>
      <xdr:colOff>0</xdr:colOff>
      <xdr:row>47</xdr:row>
      <xdr:rowOff>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xmlns="" id="{DD1E764A-BFA8-499A-BA12-5107A85C7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0</xdr:colOff>
      <xdr:row>49</xdr:row>
      <xdr:rowOff>0</xdr:rowOff>
    </xdr:from>
    <xdr:to>
      <xdr:col>25</xdr:col>
      <xdr:colOff>0</xdr:colOff>
      <xdr:row>69</xdr:row>
      <xdr:rowOff>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xmlns="" id="{AA96B9C4-56E0-4D70-8BFF-5692F5A32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26</xdr:col>
      <xdr:colOff>0</xdr:colOff>
      <xdr:row>5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xmlns="" id="{7C8EA1F8-94FE-40A4-B8D6-670DCF614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0</xdr:colOff>
      <xdr:row>27</xdr:row>
      <xdr:rowOff>0</xdr:rowOff>
    </xdr:from>
    <xdr:to>
      <xdr:col>36</xdr:col>
      <xdr:colOff>0</xdr:colOff>
      <xdr:row>47</xdr:row>
      <xdr:rowOff>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xmlns="" id="{94516C46-1F94-4BB6-A7F0-04DD881BD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26</xdr:col>
      <xdr:colOff>0</xdr:colOff>
      <xdr:row>49</xdr:row>
      <xdr:rowOff>0</xdr:rowOff>
    </xdr:from>
    <xdr:to>
      <xdr:col>36</xdr:col>
      <xdr:colOff>0</xdr:colOff>
      <xdr:row>69</xdr:row>
      <xdr:rowOff>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xmlns="" id="{C3AE1F9F-6028-4F14-A192-D4F8CEA59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37</xdr:col>
      <xdr:colOff>0</xdr:colOff>
      <xdr:row>5</xdr:row>
      <xdr:rowOff>0</xdr:rowOff>
    </xdr:from>
    <xdr:to>
      <xdr:col>47</xdr:col>
      <xdr:colOff>0</xdr:colOff>
      <xdr:row>25</xdr:row>
      <xdr:rowOff>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xmlns="" id="{90EF560F-3A5A-46CC-A589-7C4CC9411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00"/>
  <sheetViews>
    <sheetView tabSelected="1" zoomScale="160" zoomScaleNormal="160" workbookViewId="0">
      <selection activeCell="E3" sqref="E3"/>
    </sheetView>
  </sheetViews>
  <sheetFormatPr defaultColWidth="4.6640625" defaultRowHeight="13.2" x14ac:dyDescent="0.2"/>
  <cols>
    <col min="1" max="1" width="8.5546875" bestFit="1" customWidth="1"/>
  </cols>
  <sheetData>
    <row r="1" spans="1:29" x14ac:dyDescent="0.2">
      <c r="A1" t="str">
        <f ca="1">MID(CELL("filename",A1),FIND("]",CELL("filename",A1))+1,LEN(CELL("filename",A1)))</f>
        <v>Sheet</v>
      </c>
      <c r="X1" t="str">
        <f ca="1">MID(CELL("filename",X1),FIND("]",CELL("filename",X1))+1,30)</f>
        <v>Sheet</v>
      </c>
    </row>
    <row r="2" spans="1:29" x14ac:dyDescent="0.2">
      <c r="A2" t="str">
        <f ca="1">MID(CELL("filename",A2),FIND("]",CELL("filename",A2))+1,LEN(CELL("filename",A2)))</f>
        <v>Sheet</v>
      </c>
    </row>
    <row r="3" spans="1:29" ht="13.2" customHeight="1" x14ac:dyDescent="0.2">
      <c r="A3" t="str">
        <f ca="1">MID(CELL("filename",A3),FIND("]",CELL("filename",A3))+1,LEN(CELL("filename",A3)))</f>
        <v>Sheet</v>
      </c>
    </row>
    <row r="4" spans="1:29" ht="13.2" customHeight="1" x14ac:dyDescent="0.2"/>
    <row r="5" spans="1:29" ht="13.2" customHeight="1" x14ac:dyDescent="0.2"/>
    <row r="6" spans="1:29" ht="13.2" customHeight="1" x14ac:dyDescent="0.2"/>
    <row r="7" spans="1:29" ht="13.2" customHeight="1" x14ac:dyDescent="0.2"/>
    <row r="8" spans="1:29" ht="13.2" customHeight="1" x14ac:dyDescent="0.2"/>
    <row r="9" spans="1:29" ht="13.2" customHeight="1" x14ac:dyDescent="0.2">
      <c r="AA9" t="s">
        <v>4</v>
      </c>
    </row>
    <row r="10" spans="1:29" ht="13.2" customHeight="1" x14ac:dyDescent="0.2"/>
    <row r="11" spans="1:29" ht="13.2" customHeight="1" x14ac:dyDescent="0.2">
      <c r="AB11" t="s">
        <v>0</v>
      </c>
      <c r="AC11" t="s">
        <v>1</v>
      </c>
    </row>
    <row r="12" spans="1:29" ht="13.2" customHeight="1" x14ac:dyDescent="0.2">
      <c r="AA12">
        <v>1</v>
      </c>
      <c r="AB12">
        <v>444</v>
      </c>
      <c r="AC12">
        <v>222</v>
      </c>
    </row>
    <row r="13" spans="1:29" ht="13.2" customHeight="1" x14ac:dyDescent="0.2">
      <c r="AA13">
        <v>2</v>
      </c>
      <c r="AB13">
        <v>400</v>
      </c>
      <c r="AC13">
        <v>333</v>
      </c>
    </row>
    <row r="14" spans="1:29" ht="13.2" customHeight="1" x14ac:dyDescent="0.2">
      <c r="AA14">
        <v>3</v>
      </c>
      <c r="AB14">
        <v>555</v>
      </c>
      <c r="AC14">
        <v>444</v>
      </c>
    </row>
    <row r="15" spans="1:29" ht="13.2" customHeight="1" x14ac:dyDescent="0.2"/>
    <row r="16" spans="1:29" ht="13.2" customHeight="1" x14ac:dyDescent="0.2"/>
    <row r="17" spans="26:27" ht="13.2" customHeight="1" x14ac:dyDescent="0.2"/>
    <row r="18" spans="26:27" ht="13.2" customHeight="1" x14ac:dyDescent="0.2"/>
    <row r="19" spans="26:27" ht="13.2" customHeight="1" x14ac:dyDescent="0.2"/>
    <row r="20" spans="26:27" ht="13.2" customHeight="1" x14ac:dyDescent="0.2"/>
    <row r="21" spans="26:27" ht="13.2" customHeight="1" x14ac:dyDescent="0.2"/>
    <row r="22" spans="26:27" ht="13.2" customHeight="1" x14ac:dyDescent="0.2"/>
    <row r="23" spans="26:27" ht="13.2" customHeight="1" x14ac:dyDescent="0.2">
      <c r="Z23">
        <v>16</v>
      </c>
      <c r="AA23">
        <f>Z23^2</f>
        <v>256</v>
      </c>
    </row>
    <row r="24" spans="26:27" ht="13.2" customHeight="1" x14ac:dyDescent="0.2">
      <c r="Z24">
        <f>SQRT(AA24)</f>
        <v>11.313708498984761</v>
      </c>
      <c r="AA24">
        <f>AA23/2</f>
        <v>128</v>
      </c>
    </row>
    <row r="25" spans="26:27" ht="13.2" customHeight="1" x14ac:dyDescent="0.2">
      <c r="Z25">
        <f>SQRT(AA25)</f>
        <v>11.313708498984761</v>
      </c>
      <c r="AA25">
        <f>AA23/2</f>
        <v>128</v>
      </c>
    </row>
    <row r="26" spans="26:27" ht="13.2" customHeight="1" x14ac:dyDescent="0.2"/>
    <row r="27" spans="26:27" ht="13.2" customHeight="1" x14ac:dyDescent="0.2">
      <c r="Z27">
        <v>20</v>
      </c>
      <c r="AA27">
        <f>Z27^2</f>
        <v>400</v>
      </c>
    </row>
    <row r="28" spans="26:27" ht="13.2" customHeight="1" x14ac:dyDescent="0.2">
      <c r="Z28">
        <f>SQRT(AA28)</f>
        <v>14.142135623730951</v>
      </c>
      <c r="AA28">
        <f>AA27/2</f>
        <v>200</v>
      </c>
    </row>
    <row r="29" spans="26:27" ht="13.2" customHeight="1" x14ac:dyDescent="0.2">
      <c r="Z29">
        <f>SQRT(AA29)</f>
        <v>14.142135623730951</v>
      </c>
      <c r="AA29">
        <f>AA27/2</f>
        <v>200</v>
      </c>
    </row>
    <row r="30" spans="26:27" ht="13.2" customHeight="1" x14ac:dyDescent="0.2"/>
    <row r="31" spans="26:27" ht="13.2" customHeight="1" x14ac:dyDescent="0.2"/>
    <row r="32" spans="26:27" ht="13.2" customHeight="1" x14ac:dyDescent="0.2"/>
    <row r="33" spans="30:30" ht="13.2" customHeight="1" x14ac:dyDescent="0.2"/>
    <row r="34" spans="30:30" ht="13.2" customHeight="1" x14ac:dyDescent="0.2">
      <c r="AD34" t="s">
        <v>5</v>
      </c>
    </row>
    <row r="35" spans="30:30" ht="13.2" customHeight="1" x14ac:dyDescent="0.2"/>
    <row r="36" spans="30:30" ht="13.2" customHeight="1" x14ac:dyDescent="0.2"/>
    <row r="37" spans="30:30" ht="13.2" customHeight="1" x14ac:dyDescent="0.2"/>
    <row r="38" spans="30:30" ht="13.2" customHeight="1" x14ac:dyDescent="0.2"/>
    <row r="39" spans="30:30" ht="13.2" customHeight="1" x14ac:dyDescent="0.2"/>
    <row r="40" spans="30:30" ht="13.2" customHeight="1" x14ac:dyDescent="0.2"/>
    <row r="41" spans="30:30" ht="13.2" customHeight="1" x14ac:dyDescent="0.2"/>
    <row r="42" spans="30:30" ht="13.2" customHeight="1" x14ac:dyDescent="0.2"/>
    <row r="43" spans="30:30" ht="13.2" customHeight="1" x14ac:dyDescent="0.2"/>
    <row r="44" spans="30:30" ht="13.2" customHeight="1" x14ac:dyDescent="0.2"/>
    <row r="45" spans="30:30" ht="13.2" customHeight="1" x14ac:dyDescent="0.2"/>
    <row r="46" spans="30:30" ht="13.2" customHeight="1" x14ac:dyDescent="0.2"/>
    <row r="47" spans="30:30" ht="13.2" customHeight="1" x14ac:dyDescent="0.2"/>
    <row r="48" spans="30:30" ht="13.2" customHeight="1" x14ac:dyDescent="0.2"/>
    <row r="49" spans="35:45" ht="13.2" customHeight="1" x14ac:dyDescent="0.2"/>
    <row r="50" spans="35:45" ht="13.2" customHeight="1" x14ac:dyDescent="0.2"/>
    <row r="51" spans="35:45" ht="13.2" customHeight="1" x14ac:dyDescent="0.2"/>
    <row r="52" spans="35:45" ht="13.2" customHeight="1" x14ac:dyDescent="0.2"/>
    <row r="53" spans="35:45" ht="13.2" customHeight="1" x14ac:dyDescent="0.2">
      <c r="AI53" t="s">
        <v>3</v>
      </c>
    </row>
    <row r="54" spans="35:45" ht="13.2" customHeight="1" x14ac:dyDescent="0.2">
      <c r="AM54" t="s">
        <v>2</v>
      </c>
    </row>
    <row r="55" spans="35:45" ht="13.2" customHeight="1" x14ac:dyDescent="0.2"/>
    <row r="56" spans="35:45" ht="13.2" customHeight="1" x14ac:dyDescent="0.2"/>
    <row r="57" spans="35:45" ht="13.2" customHeight="1" x14ac:dyDescent="0.2"/>
    <row r="58" spans="35:45" ht="13.2" customHeight="1" x14ac:dyDescent="0.2"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35:45" ht="13.2" customHeight="1" x14ac:dyDescent="0.2"/>
    <row r="60" spans="35:45" ht="13.2" customHeight="1" x14ac:dyDescent="0.2"/>
    <row r="61" spans="35:45" ht="13.2" customHeight="1" x14ac:dyDescent="0.2"/>
    <row r="62" spans="35:45" ht="13.2" customHeight="1" x14ac:dyDescent="0.2"/>
    <row r="63" spans="35:45" ht="13.2" customHeight="1" x14ac:dyDescent="0.2"/>
    <row r="64" spans="35:45" ht="13.2" customHeight="1" x14ac:dyDescent="0.2"/>
    <row r="65" ht="13.2" customHeight="1" x14ac:dyDescent="0.2"/>
    <row r="66" ht="13.2" customHeight="1" x14ac:dyDescent="0.2"/>
    <row r="67" ht="13.2" customHeight="1" x14ac:dyDescent="0.2"/>
    <row r="68" ht="13.2" customHeight="1" x14ac:dyDescent="0.2"/>
    <row r="69" ht="13.2" customHeight="1" x14ac:dyDescent="0.2"/>
    <row r="70" ht="13.2" customHeight="1" x14ac:dyDescent="0.2"/>
    <row r="71" ht="13.2" customHeight="1" x14ac:dyDescent="0.2"/>
    <row r="72" ht="13.2" customHeight="1" x14ac:dyDescent="0.2"/>
    <row r="73" ht="13.2" customHeight="1" x14ac:dyDescent="0.2"/>
    <row r="74" ht="13.2" customHeight="1" x14ac:dyDescent="0.2"/>
    <row r="75" ht="13.2" customHeight="1" x14ac:dyDescent="0.2"/>
    <row r="76" ht="13.2" customHeight="1" x14ac:dyDescent="0.2"/>
    <row r="77" ht="13.2" customHeight="1" x14ac:dyDescent="0.2"/>
    <row r="78" ht="13.2" customHeight="1" x14ac:dyDescent="0.2"/>
    <row r="79" ht="13.2" customHeight="1" x14ac:dyDescent="0.2"/>
    <row r="80" ht="13.2" customHeight="1" x14ac:dyDescent="0.2"/>
    <row r="81" ht="13.2" customHeight="1" x14ac:dyDescent="0.2"/>
    <row r="82" ht="13.2" customHeight="1" x14ac:dyDescent="0.2"/>
    <row r="83" ht="13.2" customHeight="1" x14ac:dyDescent="0.2"/>
    <row r="84" ht="13.2" customHeight="1" x14ac:dyDescent="0.2"/>
    <row r="85" ht="13.2" customHeight="1" x14ac:dyDescent="0.2"/>
    <row r="86" ht="13.2" customHeight="1" x14ac:dyDescent="0.2"/>
    <row r="87" ht="13.2" customHeight="1" x14ac:dyDescent="0.2"/>
    <row r="88" ht="13.2" customHeight="1" x14ac:dyDescent="0.2"/>
    <row r="89" ht="13.2" customHeight="1" x14ac:dyDescent="0.2"/>
    <row r="90" ht="13.2" customHeight="1" x14ac:dyDescent="0.2"/>
    <row r="91" ht="13.2" customHeight="1" x14ac:dyDescent="0.2"/>
    <row r="92" ht="13.2" customHeight="1" x14ac:dyDescent="0.2"/>
    <row r="93" ht="13.2" customHeight="1" x14ac:dyDescent="0.2"/>
    <row r="94" ht="13.2" customHeight="1" x14ac:dyDescent="0.2"/>
    <row r="95" ht="13.2" customHeight="1" x14ac:dyDescent="0.2"/>
    <row r="96" ht="13.2" customHeight="1" x14ac:dyDescent="0.2"/>
    <row r="97" ht="13.2" customHeight="1" x14ac:dyDescent="0.2"/>
    <row r="98" ht="13.2" customHeight="1" x14ac:dyDescent="0.2"/>
    <row r="99" ht="13.2" customHeight="1" x14ac:dyDescent="0.2"/>
    <row r="100" ht="13.2" customHeight="1" x14ac:dyDescent="0.2"/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37"/>
  <sheetViews>
    <sheetView view="pageBreakPreview" zoomScale="130" zoomScaleNormal="55" zoomScaleSheetLayoutView="130" workbookViewId="0"/>
  </sheetViews>
  <sheetFormatPr defaultRowHeight="13.2" x14ac:dyDescent="0.2"/>
  <cols>
    <col min="1" max="1" width="12.88671875" bestFit="1" customWidth="1"/>
    <col min="4" max="4" width="9.21875" bestFit="1" customWidth="1"/>
    <col min="5" max="47" width="4.6640625" customWidth="1"/>
  </cols>
  <sheetData>
    <row r="1" spans="1:19" x14ac:dyDescent="0.2">
      <c r="A1" t="str">
        <f ca="1">MID(CELL("filename",A1),FIND("]",CELL("filename",A1))+1,30)</f>
        <v>お試し</v>
      </c>
    </row>
    <row r="2" spans="1:19" x14ac:dyDescent="0.2">
      <c r="A2" s="2"/>
    </row>
    <row r="9" spans="1:19" x14ac:dyDescent="0.2">
      <c r="D9" t="s">
        <v>4</v>
      </c>
    </row>
    <row r="11" spans="1:19" x14ac:dyDescent="0.2">
      <c r="E11" t="s">
        <v>0</v>
      </c>
      <c r="F11" t="s">
        <v>1</v>
      </c>
      <c r="I11" t="s">
        <v>11</v>
      </c>
      <c r="J11" t="s">
        <v>6</v>
      </c>
      <c r="K11" t="s">
        <v>10</v>
      </c>
      <c r="L11" t="s">
        <v>7</v>
      </c>
      <c r="M11" t="s">
        <v>8</v>
      </c>
      <c r="N11" t="s">
        <v>9</v>
      </c>
      <c r="O11" t="s">
        <v>12</v>
      </c>
      <c r="P11" t="s">
        <v>13</v>
      </c>
      <c r="Q11" t="s">
        <v>14</v>
      </c>
      <c r="R11" t="s">
        <v>15</v>
      </c>
      <c r="S11" t="s">
        <v>16</v>
      </c>
    </row>
    <row r="12" spans="1:19" x14ac:dyDescent="0.2">
      <c r="D12">
        <v>1</v>
      </c>
      <c r="E12">
        <v>444</v>
      </c>
      <c r="F12">
        <v>222</v>
      </c>
      <c r="H12">
        <v>1</v>
      </c>
      <c r="I12">
        <f t="shared" ref="I12:S21" ca="1" si="0">INT(RAND()* 100)</f>
        <v>3</v>
      </c>
      <c r="J12">
        <f t="shared" ca="1" si="0"/>
        <v>55</v>
      </c>
      <c r="K12">
        <f t="shared" ca="1" si="0"/>
        <v>37</v>
      </c>
      <c r="L12">
        <f t="shared" ca="1" si="0"/>
        <v>62</v>
      </c>
      <c r="M12">
        <f t="shared" ca="1" si="0"/>
        <v>36</v>
      </c>
      <c r="N12">
        <f t="shared" ca="1" si="0"/>
        <v>51</v>
      </c>
      <c r="O12">
        <f t="shared" ca="1" si="0"/>
        <v>56</v>
      </c>
      <c r="P12">
        <f t="shared" ca="1" si="0"/>
        <v>66</v>
      </c>
      <c r="Q12">
        <f t="shared" ca="1" si="0"/>
        <v>86</v>
      </c>
      <c r="R12">
        <f t="shared" ca="1" si="0"/>
        <v>54</v>
      </c>
      <c r="S12">
        <f t="shared" ca="1" si="0"/>
        <v>6</v>
      </c>
    </row>
    <row r="13" spans="1:19" x14ac:dyDescent="0.2">
      <c r="D13">
        <v>2</v>
      </c>
      <c r="E13">
        <v>400</v>
      </c>
      <c r="F13">
        <v>333</v>
      </c>
      <c r="H13">
        <v>2</v>
      </c>
      <c r="I13">
        <f t="shared" ca="1" si="0"/>
        <v>13</v>
      </c>
      <c r="J13">
        <f t="shared" ca="1" si="0"/>
        <v>99</v>
      </c>
      <c r="K13">
        <f t="shared" ca="1" si="0"/>
        <v>22</v>
      </c>
      <c r="L13">
        <f t="shared" ca="1" si="0"/>
        <v>50</v>
      </c>
      <c r="M13">
        <f t="shared" ca="1" si="0"/>
        <v>89</v>
      </c>
      <c r="N13">
        <f t="shared" ca="1" si="0"/>
        <v>4</v>
      </c>
      <c r="O13">
        <f t="shared" ca="1" si="0"/>
        <v>84</v>
      </c>
      <c r="P13">
        <f t="shared" ca="1" si="0"/>
        <v>52</v>
      </c>
      <c r="Q13">
        <f t="shared" ca="1" si="0"/>
        <v>67</v>
      </c>
      <c r="R13">
        <f t="shared" ca="1" si="0"/>
        <v>41</v>
      </c>
      <c r="S13">
        <f t="shared" ca="1" si="0"/>
        <v>3</v>
      </c>
    </row>
    <row r="14" spans="1:19" x14ac:dyDescent="0.2">
      <c r="D14">
        <v>3</v>
      </c>
      <c r="E14">
        <v>555</v>
      </c>
      <c r="F14">
        <v>444</v>
      </c>
      <c r="H14">
        <v>3</v>
      </c>
      <c r="I14">
        <f t="shared" ca="1" si="0"/>
        <v>27</v>
      </c>
      <c r="J14">
        <f t="shared" ca="1" si="0"/>
        <v>77</v>
      </c>
      <c r="K14">
        <f t="shared" ca="1" si="0"/>
        <v>30</v>
      </c>
      <c r="L14">
        <f t="shared" ca="1" si="0"/>
        <v>27</v>
      </c>
      <c r="M14">
        <f t="shared" ca="1" si="0"/>
        <v>37</v>
      </c>
      <c r="N14">
        <f t="shared" ca="1" si="0"/>
        <v>7</v>
      </c>
      <c r="O14">
        <f t="shared" ca="1" si="0"/>
        <v>95</v>
      </c>
      <c r="P14">
        <f t="shared" ca="1" si="0"/>
        <v>29</v>
      </c>
      <c r="Q14">
        <f t="shared" ca="1" si="0"/>
        <v>90</v>
      </c>
      <c r="R14">
        <f t="shared" ca="1" si="0"/>
        <v>20</v>
      </c>
      <c r="S14">
        <f t="shared" ca="1" si="0"/>
        <v>77</v>
      </c>
    </row>
    <row r="15" spans="1:19" x14ac:dyDescent="0.2">
      <c r="H15">
        <v>4</v>
      </c>
      <c r="I15">
        <f t="shared" ca="1" si="0"/>
        <v>13</v>
      </c>
      <c r="J15">
        <f t="shared" ca="1" si="0"/>
        <v>78</v>
      </c>
      <c r="K15">
        <f t="shared" ca="1" si="0"/>
        <v>20</v>
      </c>
      <c r="L15">
        <f t="shared" ca="1" si="0"/>
        <v>15</v>
      </c>
      <c r="M15">
        <f t="shared" ca="1" si="0"/>
        <v>5</v>
      </c>
      <c r="N15">
        <f t="shared" ca="1" si="0"/>
        <v>71</v>
      </c>
      <c r="O15">
        <f t="shared" ca="1" si="0"/>
        <v>99</v>
      </c>
      <c r="P15">
        <f t="shared" ca="1" si="0"/>
        <v>1</v>
      </c>
      <c r="Q15">
        <f t="shared" ca="1" si="0"/>
        <v>69</v>
      </c>
      <c r="R15">
        <f t="shared" ca="1" si="0"/>
        <v>69</v>
      </c>
      <c r="S15">
        <f t="shared" ca="1" si="0"/>
        <v>60</v>
      </c>
    </row>
    <row r="16" spans="1:19" x14ac:dyDescent="0.2">
      <c r="H16">
        <v>5</v>
      </c>
      <c r="I16">
        <f t="shared" ca="1" si="0"/>
        <v>9</v>
      </c>
      <c r="J16">
        <f t="shared" ca="1" si="0"/>
        <v>58</v>
      </c>
      <c r="K16">
        <f t="shared" ca="1" si="0"/>
        <v>44</v>
      </c>
      <c r="L16">
        <f t="shared" ca="1" si="0"/>
        <v>71</v>
      </c>
      <c r="M16">
        <f t="shared" ca="1" si="0"/>
        <v>39</v>
      </c>
      <c r="N16">
        <f t="shared" ca="1" si="0"/>
        <v>69</v>
      </c>
      <c r="O16">
        <f t="shared" ca="1" si="0"/>
        <v>19</v>
      </c>
      <c r="P16">
        <f t="shared" ca="1" si="0"/>
        <v>32</v>
      </c>
      <c r="Q16">
        <f t="shared" ca="1" si="0"/>
        <v>24</v>
      </c>
      <c r="R16">
        <f t="shared" ca="1" si="0"/>
        <v>87</v>
      </c>
      <c r="S16">
        <f t="shared" ca="1" si="0"/>
        <v>58</v>
      </c>
    </row>
    <row r="17" spans="3:25" x14ac:dyDescent="0.2">
      <c r="H17">
        <v>6</v>
      </c>
      <c r="I17">
        <f t="shared" ca="1" si="0"/>
        <v>78</v>
      </c>
      <c r="J17">
        <f t="shared" ca="1" si="0"/>
        <v>73</v>
      </c>
      <c r="K17">
        <f t="shared" ca="1" si="0"/>
        <v>92</v>
      </c>
      <c r="L17">
        <f t="shared" ca="1" si="0"/>
        <v>72</v>
      </c>
      <c r="M17">
        <f t="shared" ca="1" si="0"/>
        <v>15</v>
      </c>
      <c r="N17">
        <f t="shared" ca="1" si="0"/>
        <v>78</v>
      </c>
      <c r="O17">
        <f t="shared" ca="1" si="0"/>
        <v>90</v>
      </c>
      <c r="P17">
        <f t="shared" ca="1" si="0"/>
        <v>70</v>
      </c>
      <c r="Q17">
        <f t="shared" ca="1" si="0"/>
        <v>82</v>
      </c>
      <c r="R17">
        <f t="shared" ca="1" si="0"/>
        <v>21</v>
      </c>
      <c r="S17">
        <f t="shared" ca="1" si="0"/>
        <v>29</v>
      </c>
    </row>
    <row r="18" spans="3:25" x14ac:dyDescent="0.2">
      <c r="H18">
        <v>7</v>
      </c>
      <c r="I18">
        <f t="shared" ca="1" si="0"/>
        <v>73</v>
      </c>
      <c r="J18">
        <f t="shared" ca="1" si="0"/>
        <v>86</v>
      </c>
      <c r="K18">
        <f t="shared" ca="1" si="0"/>
        <v>49</v>
      </c>
      <c r="L18">
        <f t="shared" ca="1" si="0"/>
        <v>14</v>
      </c>
      <c r="M18">
        <f t="shared" ca="1" si="0"/>
        <v>72</v>
      </c>
      <c r="N18">
        <f t="shared" ca="1" si="0"/>
        <v>93</v>
      </c>
      <c r="O18">
        <f t="shared" ca="1" si="0"/>
        <v>45</v>
      </c>
      <c r="P18">
        <f t="shared" ca="1" si="0"/>
        <v>64</v>
      </c>
      <c r="Q18">
        <f t="shared" ca="1" si="0"/>
        <v>8</v>
      </c>
      <c r="R18">
        <f t="shared" ca="1" si="0"/>
        <v>81</v>
      </c>
      <c r="S18">
        <f t="shared" ca="1" si="0"/>
        <v>89</v>
      </c>
    </row>
    <row r="19" spans="3:25" x14ac:dyDescent="0.2">
      <c r="H19">
        <v>8</v>
      </c>
      <c r="I19">
        <f t="shared" ca="1" si="0"/>
        <v>28</v>
      </c>
      <c r="J19">
        <f t="shared" ca="1" si="0"/>
        <v>74</v>
      </c>
      <c r="K19">
        <f t="shared" ca="1" si="0"/>
        <v>6</v>
      </c>
      <c r="L19">
        <f t="shared" ca="1" si="0"/>
        <v>3</v>
      </c>
      <c r="M19">
        <f t="shared" ca="1" si="0"/>
        <v>13</v>
      </c>
      <c r="N19">
        <f t="shared" ca="1" si="0"/>
        <v>53</v>
      </c>
      <c r="O19">
        <f t="shared" ca="1" si="0"/>
        <v>72</v>
      </c>
      <c r="P19">
        <f t="shared" ca="1" si="0"/>
        <v>94</v>
      </c>
      <c r="Q19">
        <f t="shared" ca="1" si="0"/>
        <v>2</v>
      </c>
      <c r="R19">
        <f t="shared" ca="1" si="0"/>
        <v>50</v>
      </c>
      <c r="S19">
        <f t="shared" ca="1" si="0"/>
        <v>58</v>
      </c>
    </row>
    <row r="20" spans="3:25" x14ac:dyDescent="0.2">
      <c r="H20">
        <v>9</v>
      </c>
      <c r="I20">
        <f t="shared" ca="1" si="0"/>
        <v>14</v>
      </c>
      <c r="J20">
        <f t="shared" ca="1" si="0"/>
        <v>70</v>
      </c>
      <c r="K20">
        <f t="shared" ca="1" si="0"/>
        <v>81</v>
      </c>
      <c r="L20">
        <f t="shared" ca="1" si="0"/>
        <v>28</v>
      </c>
      <c r="M20">
        <f t="shared" ca="1" si="0"/>
        <v>67</v>
      </c>
      <c r="N20">
        <f t="shared" ca="1" si="0"/>
        <v>48</v>
      </c>
      <c r="O20">
        <f t="shared" ca="1" si="0"/>
        <v>18</v>
      </c>
      <c r="P20">
        <f t="shared" ca="1" si="0"/>
        <v>41</v>
      </c>
      <c r="Q20">
        <f t="shared" ca="1" si="0"/>
        <v>2</v>
      </c>
      <c r="R20">
        <f t="shared" ca="1" si="0"/>
        <v>54</v>
      </c>
    </row>
    <row r="21" spans="3:25" x14ac:dyDescent="0.2">
      <c r="H21">
        <v>10</v>
      </c>
      <c r="I21">
        <f t="shared" ca="1" si="0"/>
        <v>24</v>
      </c>
      <c r="J21">
        <f t="shared" ca="1" si="0"/>
        <v>51</v>
      </c>
      <c r="K21">
        <f t="shared" ca="1" si="0"/>
        <v>97</v>
      </c>
      <c r="L21">
        <f t="shared" ca="1" si="0"/>
        <v>78</v>
      </c>
      <c r="M21">
        <f t="shared" ca="1" si="0"/>
        <v>89</v>
      </c>
      <c r="N21">
        <f t="shared" ca="1" si="0"/>
        <v>36</v>
      </c>
      <c r="O21">
        <f t="shared" ca="1" si="0"/>
        <v>75</v>
      </c>
      <c r="P21">
        <f t="shared" ca="1" si="0"/>
        <v>11</v>
      </c>
      <c r="Q21">
        <f t="shared" ca="1" si="0"/>
        <v>11</v>
      </c>
      <c r="R21">
        <f t="shared" ca="1" si="0"/>
        <v>34</v>
      </c>
      <c r="S21">
        <f t="shared" ca="1" si="0"/>
        <v>15</v>
      </c>
    </row>
    <row r="22" spans="3:25" x14ac:dyDescent="0.2">
      <c r="D22" t="s">
        <v>17</v>
      </c>
    </row>
    <row r="23" spans="3:25" x14ac:dyDescent="0.2">
      <c r="C23">
        <v>16</v>
      </c>
      <c r="D23">
        <f>C23^2</f>
        <v>256</v>
      </c>
    </row>
    <row r="24" spans="3:25" x14ac:dyDescent="0.2">
      <c r="C24">
        <f>SQRT(D24)</f>
        <v>11.313708498984761</v>
      </c>
      <c r="D24">
        <f>D23/2</f>
        <v>128</v>
      </c>
    </row>
    <row r="25" spans="3:25" x14ac:dyDescent="0.2">
      <c r="C25">
        <f>SQRT(D25)</f>
        <v>11.313708498984761</v>
      </c>
      <c r="D25">
        <f>D23/2</f>
        <v>128</v>
      </c>
      <c r="Y25">
        <v>1</v>
      </c>
    </row>
    <row r="27" spans="3:25" x14ac:dyDescent="0.2">
      <c r="C27">
        <v>20</v>
      </c>
      <c r="D27">
        <f>C27^2</f>
        <v>400</v>
      </c>
    </row>
    <row r="28" spans="3:25" x14ac:dyDescent="0.2">
      <c r="C28">
        <f>SQRT(D28)</f>
        <v>14.142135623730951</v>
      </c>
      <c r="D28">
        <f>D27/2</f>
        <v>200</v>
      </c>
      <c r="Y28">
        <v>1</v>
      </c>
    </row>
    <row r="29" spans="3:25" x14ac:dyDescent="0.2">
      <c r="C29">
        <f>SQRT(D29)</f>
        <v>14.142135623730951</v>
      </c>
      <c r="D29">
        <f>D27/2</f>
        <v>200</v>
      </c>
    </row>
    <row r="58" spans="12:22" x14ac:dyDescent="0.2">
      <c r="L58" s="1"/>
      <c r="M58" s="1"/>
      <c r="N58" s="1"/>
      <c r="O58" s="1"/>
      <c r="Q58" s="1"/>
      <c r="R58" s="1"/>
      <c r="S58" s="1"/>
      <c r="T58" s="1"/>
      <c r="U58" s="1"/>
      <c r="V58" s="1"/>
    </row>
    <row r="59" spans="12:22" x14ac:dyDescent="0.2">
      <c r="P59" s="1"/>
    </row>
    <row r="133" spans="3:12" x14ac:dyDescent="0.2">
      <c r="C133">
        <v>1</v>
      </c>
      <c r="D133">
        <v>2</v>
      </c>
      <c r="E133">
        <v>3</v>
      </c>
      <c r="F133">
        <v>4</v>
      </c>
      <c r="G133">
        <v>5</v>
      </c>
      <c r="H133">
        <v>6</v>
      </c>
      <c r="I133">
        <v>7</v>
      </c>
      <c r="J133">
        <v>8</v>
      </c>
      <c r="K133">
        <v>9</v>
      </c>
      <c r="L133">
        <v>10</v>
      </c>
    </row>
    <row r="134" spans="3:12" x14ac:dyDescent="0.2">
      <c r="C134">
        <f t="shared" ref="C134:L134" si="1">SUM(C133:L133)</f>
        <v>55</v>
      </c>
      <c r="D134">
        <f t="shared" si="1"/>
        <v>54</v>
      </c>
      <c r="E134">
        <f t="shared" si="1"/>
        <v>52</v>
      </c>
      <c r="F134">
        <f t="shared" si="1"/>
        <v>49</v>
      </c>
      <c r="G134">
        <f t="shared" si="1"/>
        <v>45</v>
      </c>
      <c r="H134">
        <f t="shared" si="1"/>
        <v>40</v>
      </c>
      <c r="I134">
        <f t="shared" si="1"/>
        <v>34</v>
      </c>
      <c r="J134">
        <f t="shared" si="1"/>
        <v>27</v>
      </c>
      <c r="K134">
        <f t="shared" si="1"/>
        <v>19</v>
      </c>
      <c r="L134">
        <f t="shared" si="1"/>
        <v>10</v>
      </c>
    </row>
    <row r="136" spans="3:12" x14ac:dyDescent="0.2">
      <c r="C136">
        <f>10*(10+1)/2</f>
        <v>55</v>
      </c>
      <c r="H136">
        <f>COUNTA(H$133:L133)*(L$133+H133)/2</f>
        <v>40</v>
      </c>
      <c r="I136">
        <f>COUNTA(I$133:L133)*(L$133+I133)/2</f>
        <v>34</v>
      </c>
    </row>
    <row r="137" spans="3:12" x14ac:dyDescent="0.2">
      <c r="C137">
        <f t="shared" ref="C137:L137" si="2">(($L133-C133)+1)*($L133+C133)/2</f>
        <v>55</v>
      </c>
      <c r="D137">
        <f t="shared" si="2"/>
        <v>54</v>
      </c>
      <c r="E137">
        <f t="shared" si="2"/>
        <v>52</v>
      </c>
      <c r="F137">
        <f t="shared" si="2"/>
        <v>49</v>
      </c>
      <c r="G137">
        <f t="shared" si="2"/>
        <v>45</v>
      </c>
      <c r="H137">
        <f t="shared" si="2"/>
        <v>40</v>
      </c>
      <c r="I137">
        <f t="shared" si="2"/>
        <v>34</v>
      </c>
      <c r="J137">
        <f t="shared" si="2"/>
        <v>27</v>
      </c>
      <c r="K137">
        <f t="shared" si="2"/>
        <v>19</v>
      </c>
      <c r="L137">
        <f t="shared" si="2"/>
        <v>10</v>
      </c>
    </row>
  </sheetData>
  <sortState ref="Q27:Q36">
    <sortCondition ref="Q27"/>
  </sortState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"/>
  <sheetViews>
    <sheetView zoomScaleNormal="100" workbookViewId="0"/>
  </sheetViews>
  <sheetFormatPr defaultRowHeight="13.2" x14ac:dyDescent="0.2"/>
  <sheetData>
    <row r="1" spans="1:10" x14ac:dyDescent="0.2">
      <c r="A1" t="s">
        <v>230</v>
      </c>
      <c r="B1" t="s">
        <v>19</v>
      </c>
      <c r="C1" t="s">
        <v>20</v>
      </c>
      <c r="D1" t="s">
        <v>21</v>
      </c>
      <c r="E1" t="s">
        <v>231</v>
      </c>
      <c r="F1" t="s">
        <v>232</v>
      </c>
      <c r="G1" t="s">
        <v>24</v>
      </c>
      <c r="H1" t="s">
        <v>25</v>
      </c>
      <c r="I1" t="s">
        <v>26</v>
      </c>
      <c r="J1" t="s">
        <v>27</v>
      </c>
    </row>
    <row r="2" spans="1:10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5"/>
  <sheetViews>
    <sheetView zoomScaleNormal="100" workbookViewId="0"/>
  </sheetViews>
  <sheetFormatPr defaultRowHeight="13.2" x14ac:dyDescent="0.2"/>
  <cols>
    <col min="1" max="1" width="27.21875" bestFit="1" customWidth="1"/>
    <col min="2" max="2" width="6.44140625" bestFit="1" customWidth="1"/>
    <col min="3" max="3" width="36.109375" bestFit="1" customWidth="1"/>
  </cols>
  <sheetData>
    <row r="1" spans="1:3" x14ac:dyDescent="0.2">
      <c r="A1" s="3" t="s">
        <v>169</v>
      </c>
      <c r="B1" s="3" t="s">
        <v>28</v>
      </c>
      <c r="C1" s="3" t="s">
        <v>170</v>
      </c>
    </row>
    <row r="2" spans="1:3" x14ac:dyDescent="0.2">
      <c r="A2" s="4" t="s">
        <v>29</v>
      </c>
      <c r="B2" s="4">
        <v>-4098</v>
      </c>
      <c r="C2" s="4" t="s">
        <v>30</v>
      </c>
    </row>
    <row r="3" spans="1:3" x14ac:dyDescent="0.2">
      <c r="A3" s="4" t="s">
        <v>31</v>
      </c>
      <c r="B3" s="4">
        <v>78</v>
      </c>
      <c r="C3" s="4" t="s">
        <v>32</v>
      </c>
    </row>
    <row r="4" spans="1:3" x14ac:dyDescent="0.2">
      <c r="A4" s="4" t="s">
        <v>33</v>
      </c>
      <c r="B4" s="4">
        <v>79</v>
      </c>
      <c r="C4" s="4" t="s">
        <v>34</v>
      </c>
    </row>
    <row r="5" spans="1:3" x14ac:dyDescent="0.2">
      <c r="A5" s="4" t="s">
        <v>35</v>
      </c>
      <c r="B5" s="4">
        <v>60</v>
      </c>
      <c r="C5" s="4" t="s">
        <v>36</v>
      </c>
    </row>
    <row r="6" spans="1:3" x14ac:dyDescent="0.2">
      <c r="A6" s="4" t="s">
        <v>37</v>
      </c>
      <c r="B6" s="4">
        <v>61</v>
      </c>
      <c r="C6" s="4" t="s">
        <v>38</v>
      </c>
    </row>
    <row r="7" spans="1:3" x14ac:dyDescent="0.2">
      <c r="A7" s="4" t="s">
        <v>39</v>
      </c>
      <c r="B7" s="4">
        <v>62</v>
      </c>
      <c r="C7" s="4" t="s">
        <v>40</v>
      </c>
    </row>
    <row r="8" spans="1:3" x14ac:dyDescent="0.2">
      <c r="A8" s="4" t="s">
        <v>41</v>
      </c>
      <c r="B8" s="4">
        <v>-4100</v>
      </c>
      <c r="C8" s="4" t="s">
        <v>42</v>
      </c>
    </row>
    <row r="9" spans="1:3" x14ac:dyDescent="0.2">
      <c r="A9" s="4" t="s">
        <v>43</v>
      </c>
      <c r="B9" s="4">
        <v>54</v>
      </c>
      <c r="C9" s="4" t="s">
        <v>44</v>
      </c>
    </row>
    <row r="10" spans="1:3" x14ac:dyDescent="0.2">
      <c r="A10" s="4" t="s">
        <v>45</v>
      </c>
      <c r="B10" s="4">
        <v>55</v>
      </c>
      <c r="C10" s="4" t="s">
        <v>46</v>
      </c>
    </row>
    <row r="11" spans="1:3" x14ac:dyDescent="0.2">
      <c r="A11" s="4" t="s">
        <v>47</v>
      </c>
      <c r="B11" s="4">
        <v>56</v>
      </c>
      <c r="C11" s="4" t="s">
        <v>48</v>
      </c>
    </row>
    <row r="12" spans="1:3" x14ac:dyDescent="0.2">
      <c r="A12" s="4" t="s">
        <v>49</v>
      </c>
      <c r="B12" s="4">
        <v>-4101</v>
      </c>
      <c r="C12" s="4" t="s">
        <v>50</v>
      </c>
    </row>
    <row r="13" spans="1:3" x14ac:dyDescent="0.2">
      <c r="A13" s="4" t="s">
        <v>51</v>
      </c>
      <c r="B13" s="4">
        <v>-4102</v>
      </c>
      <c r="C13" s="4" t="s">
        <v>52</v>
      </c>
    </row>
    <row r="14" spans="1:3" x14ac:dyDescent="0.2">
      <c r="A14" s="4" t="s">
        <v>53</v>
      </c>
      <c r="B14" s="4">
        <v>70</v>
      </c>
      <c r="C14" s="4" t="s">
        <v>54</v>
      </c>
    </row>
    <row r="15" spans="1:3" x14ac:dyDescent="0.2">
      <c r="A15" s="4" t="s">
        <v>55</v>
      </c>
      <c r="B15" s="4">
        <v>1</v>
      </c>
      <c r="C15" s="4" t="s">
        <v>171</v>
      </c>
    </row>
    <row r="16" spans="1:3" x14ac:dyDescent="0.2">
      <c r="A16" s="4" t="s">
        <v>172</v>
      </c>
      <c r="B16" s="4">
        <v>76</v>
      </c>
      <c r="C16" s="4" t="s">
        <v>56</v>
      </c>
    </row>
    <row r="17" spans="1:4" x14ac:dyDescent="0.2">
      <c r="A17" s="4" t="s">
        <v>57</v>
      </c>
      <c r="B17" s="4">
        <v>77</v>
      </c>
      <c r="C17" s="4" t="s">
        <v>34</v>
      </c>
    </row>
    <row r="18" spans="1:4" x14ac:dyDescent="0.2">
      <c r="A18" s="4" t="s">
        <v>58</v>
      </c>
      <c r="B18" s="4">
        <v>57</v>
      </c>
      <c r="C18" s="4" t="s">
        <v>59</v>
      </c>
      <c r="D18" t="s">
        <v>175</v>
      </c>
    </row>
    <row r="19" spans="1:4" x14ac:dyDescent="0.2">
      <c r="A19" s="4" t="s">
        <v>60</v>
      </c>
      <c r="B19" s="4">
        <v>71</v>
      </c>
      <c r="C19" s="4" t="s">
        <v>61</v>
      </c>
      <c r="D19" t="s">
        <v>175</v>
      </c>
    </row>
    <row r="20" spans="1:4" x14ac:dyDescent="0.2">
      <c r="A20" s="4" t="s">
        <v>62</v>
      </c>
      <c r="B20" s="4">
        <v>58</v>
      </c>
      <c r="C20" s="4" t="s">
        <v>63</v>
      </c>
      <c r="D20" t="s">
        <v>175</v>
      </c>
    </row>
    <row r="21" spans="1:4" x14ac:dyDescent="0.2">
      <c r="A21" s="4" t="s">
        <v>64</v>
      </c>
      <c r="B21" s="4">
        <v>59</v>
      </c>
      <c r="C21" s="4" t="s">
        <v>65</v>
      </c>
      <c r="D21" t="s">
        <v>175</v>
      </c>
    </row>
    <row r="22" spans="1:4" x14ac:dyDescent="0.2">
      <c r="A22" s="4" t="s">
        <v>66</v>
      </c>
      <c r="B22" s="4">
        <v>15</v>
      </c>
      <c r="C22" s="4" t="s">
        <v>67</v>
      </c>
    </row>
    <row r="23" spans="1:4" x14ac:dyDescent="0.2">
      <c r="A23" s="4" t="s">
        <v>68</v>
      </c>
      <c r="B23" s="4">
        <v>87</v>
      </c>
      <c r="C23" s="4" t="s">
        <v>69</v>
      </c>
    </row>
    <row r="24" spans="1:4" x14ac:dyDescent="0.2">
      <c r="A24" s="4" t="s">
        <v>70</v>
      </c>
      <c r="B24" s="4">
        <v>51</v>
      </c>
      <c r="C24" s="4" t="s">
        <v>71</v>
      </c>
      <c r="D24" t="s">
        <v>175</v>
      </c>
    </row>
    <row r="25" spans="1:4" x14ac:dyDescent="0.2">
      <c r="A25" s="4" t="s">
        <v>72</v>
      </c>
      <c r="B25" s="4">
        <v>52</v>
      </c>
      <c r="C25" s="4" t="s">
        <v>73</v>
      </c>
      <c r="D25" t="s">
        <v>175</v>
      </c>
    </row>
    <row r="26" spans="1:4" x14ac:dyDescent="0.2">
      <c r="A26" s="4" t="s">
        <v>74</v>
      </c>
      <c r="B26" s="4">
        <v>53</v>
      </c>
      <c r="C26" s="4" t="s">
        <v>75</v>
      </c>
    </row>
    <row r="27" spans="1:4" x14ac:dyDescent="0.2">
      <c r="A27" s="4" t="s">
        <v>76</v>
      </c>
      <c r="B27" s="4">
        <v>102</v>
      </c>
      <c r="C27" s="4" t="s">
        <v>77</v>
      </c>
    </row>
    <row r="28" spans="1:4" x14ac:dyDescent="0.2">
      <c r="A28" s="4" t="s">
        <v>78</v>
      </c>
      <c r="B28" s="4">
        <v>103</v>
      </c>
      <c r="C28" s="4" t="s">
        <v>79</v>
      </c>
    </row>
    <row r="29" spans="1:4" x14ac:dyDescent="0.2">
      <c r="A29" s="4" t="s">
        <v>80</v>
      </c>
      <c r="B29" s="4">
        <v>104</v>
      </c>
      <c r="C29" s="4" t="s">
        <v>81</v>
      </c>
    </row>
    <row r="30" spans="1:4" x14ac:dyDescent="0.2">
      <c r="A30" s="4" t="s">
        <v>82</v>
      </c>
      <c r="B30" s="4">
        <v>105</v>
      </c>
      <c r="C30" s="4" t="s">
        <v>83</v>
      </c>
    </row>
    <row r="31" spans="1:4" x14ac:dyDescent="0.2">
      <c r="A31" s="4" t="s">
        <v>84</v>
      </c>
      <c r="B31" s="4">
        <v>99</v>
      </c>
      <c r="C31" s="4" t="s">
        <v>85</v>
      </c>
    </row>
    <row r="32" spans="1:4" x14ac:dyDescent="0.2">
      <c r="A32" s="4" t="s">
        <v>86</v>
      </c>
      <c r="B32" s="4">
        <v>100</v>
      </c>
      <c r="C32" s="4" t="s">
        <v>87</v>
      </c>
    </row>
    <row r="33" spans="1:4" x14ac:dyDescent="0.2">
      <c r="A33" s="4" t="s">
        <v>88</v>
      </c>
      <c r="B33" s="4">
        <v>101</v>
      </c>
      <c r="C33" s="4" t="s">
        <v>89</v>
      </c>
    </row>
    <row r="34" spans="1:4" x14ac:dyDescent="0.2">
      <c r="A34" s="4" t="s">
        <v>90</v>
      </c>
      <c r="B34" s="4">
        <v>95</v>
      </c>
      <c r="C34" s="4" t="s">
        <v>91</v>
      </c>
    </row>
    <row r="35" spans="1:4" x14ac:dyDescent="0.2">
      <c r="A35" s="4" t="s">
        <v>92</v>
      </c>
      <c r="B35" s="4">
        <v>96</v>
      </c>
      <c r="C35" s="4" t="s">
        <v>93</v>
      </c>
    </row>
    <row r="36" spans="1:4" x14ac:dyDescent="0.2">
      <c r="A36" s="4" t="s">
        <v>94</v>
      </c>
      <c r="B36" s="4">
        <v>97</v>
      </c>
      <c r="C36" s="4" t="s">
        <v>95</v>
      </c>
    </row>
    <row r="37" spans="1:4" x14ac:dyDescent="0.2">
      <c r="A37" s="4" t="s">
        <v>96</v>
      </c>
      <c r="B37" s="4">
        <v>98</v>
      </c>
      <c r="C37" s="4" t="s">
        <v>97</v>
      </c>
    </row>
    <row r="38" spans="1:4" x14ac:dyDescent="0.2">
      <c r="A38" s="4" t="s">
        <v>98</v>
      </c>
      <c r="B38" s="4">
        <v>92</v>
      </c>
      <c r="C38" s="4" t="s">
        <v>85</v>
      </c>
    </row>
    <row r="39" spans="1:4" x14ac:dyDescent="0.2">
      <c r="A39" s="4" t="s">
        <v>99</v>
      </c>
      <c r="B39" s="4">
        <v>93</v>
      </c>
      <c r="C39" s="4" t="s">
        <v>87</v>
      </c>
    </row>
    <row r="40" spans="1:4" x14ac:dyDescent="0.2">
      <c r="A40" s="4" t="s">
        <v>100</v>
      </c>
      <c r="B40" s="4">
        <v>94</v>
      </c>
      <c r="C40" s="4" t="s">
        <v>101</v>
      </c>
    </row>
    <row r="41" spans="1:4" x14ac:dyDescent="0.2">
      <c r="A41" s="4" t="s">
        <v>102</v>
      </c>
      <c r="B41" s="4">
        <v>-4120</v>
      </c>
      <c r="C41" s="4" t="s">
        <v>103</v>
      </c>
    </row>
    <row r="42" spans="1:4" x14ac:dyDescent="0.2">
      <c r="A42" s="4" t="s">
        <v>104</v>
      </c>
      <c r="B42" s="4">
        <v>80</v>
      </c>
      <c r="C42" s="4" t="s">
        <v>105</v>
      </c>
    </row>
    <row r="43" spans="1:4" x14ac:dyDescent="0.2">
      <c r="A43" s="4" t="s">
        <v>106</v>
      </c>
      <c r="B43" s="4">
        <v>4</v>
      </c>
      <c r="C43" s="4" t="s">
        <v>107</v>
      </c>
      <c r="D43" t="s">
        <v>175</v>
      </c>
    </row>
    <row r="44" spans="1:4" x14ac:dyDescent="0.2">
      <c r="A44" s="4" t="s">
        <v>108</v>
      </c>
      <c r="B44" s="4">
        <v>65</v>
      </c>
      <c r="C44" s="4" t="s">
        <v>109</v>
      </c>
      <c r="D44" t="s">
        <v>175</v>
      </c>
    </row>
    <row r="45" spans="1:4" x14ac:dyDescent="0.2">
      <c r="A45" s="4" t="s">
        <v>110</v>
      </c>
      <c r="B45" s="4">
        <v>66</v>
      </c>
      <c r="C45" s="4" t="s">
        <v>111</v>
      </c>
      <c r="D45" t="s">
        <v>175</v>
      </c>
    </row>
    <row r="46" spans="1:4" x14ac:dyDescent="0.2">
      <c r="A46" s="4" t="s">
        <v>112</v>
      </c>
      <c r="B46" s="4">
        <v>67</v>
      </c>
      <c r="C46" s="4" t="s">
        <v>113</v>
      </c>
      <c r="D46" t="s">
        <v>175</v>
      </c>
    </row>
    <row r="47" spans="1:4" x14ac:dyDescent="0.2">
      <c r="A47" s="4" t="s">
        <v>114</v>
      </c>
      <c r="B47" s="4">
        <v>63</v>
      </c>
      <c r="C47" s="4" t="s">
        <v>115</v>
      </c>
      <c r="D47" t="s">
        <v>175</v>
      </c>
    </row>
    <row r="48" spans="1:4" x14ac:dyDescent="0.2">
      <c r="A48" s="4" t="s">
        <v>116</v>
      </c>
      <c r="B48" s="4">
        <v>64</v>
      </c>
      <c r="C48" s="4" t="s">
        <v>117</v>
      </c>
      <c r="D48" t="s">
        <v>175</v>
      </c>
    </row>
    <row r="49" spans="1:3" x14ac:dyDescent="0.2">
      <c r="A49" s="4" t="s">
        <v>118</v>
      </c>
      <c r="B49" s="4">
        <v>5</v>
      </c>
      <c r="C49" s="4" t="s">
        <v>119</v>
      </c>
    </row>
    <row r="50" spans="1:3" x14ac:dyDescent="0.2">
      <c r="A50" s="4" t="s">
        <v>120</v>
      </c>
      <c r="B50" s="4">
        <v>69</v>
      </c>
      <c r="C50" s="4" t="s">
        <v>121</v>
      </c>
    </row>
    <row r="51" spans="1:3" x14ac:dyDescent="0.2">
      <c r="A51" s="4" t="s">
        <v>122</v>
      </c>
      <c r="B51" s="4">
        <v>68</v>
      </c>
      <c r="C51" s="4" t="s">
        <v>123</v>
      </c>
    </row>
    <row r="52" spans="1:3" x14ac:dyDescent="0.2">
      <c r="A52" s="4" t="s">
        <v>124</v>
      </c>
      <c r="B52" s="4">
        <v>109</v>
      </c>
      <c r="C52" s="4" t="s">
        <v>125</v>
      </c>
    </row>
    <row r="53" spans="1:3" x14ac:dyDescent="0.2">
      <c r="A53" s="4" t="s">
        <v>126</v>
      </c>
      <c r="B53" s="4">
        <v>110</v>
      </c>
      <c r="C53" s="4" t="s">
        <v>127</v>
      </c>
    </row>
    <row r="54" spans="1:3" x14ac:dyDescent="0.2">
      <c r="A54" s="4" t="s">
        <v>128</v>
      </c>
      <c r="B54" s="4">
        <v>111</v>
      </c>
      <c r="C54" s="4" t="s">
        <v>129</v>
      </c>
    </row>
    <row r="55" spans="1:3" x14ac:dyDescent="0.2">
      <c r="A55" s="4" t="s">
        <v>130</v>
      </c>
      <c r="B55" s="4">
        <v>112</v>
      </c>
      <c r="C55" s="4" t="s">
        <v>131</v>
      </c>
    </row>
    <row r="56" spans="1:3" x14ac:dyDescent="0.2">
      <c r="A56" s="4" t="s">
        <v>132</v>
      </c>
      <c r="B56" s="4">
        <v>106</v>
      </c>
      <c r="C56" s="4" t="s">
        <v>133</v>
      </c>
    </row>
    <row r="57" spans="1:3" x14ac:dyDescent="0.2">
      <c r="A57" s="4" t="s">
        <v>134</v>
      </c>
      <c r="B57" s="4">
        <v>107</v>
      </c>
      <c r="C57" s="4" t="s">
        <v>135</v>
      </c>
    </row>
    <row r="58" spans="1:3" x14ac:dyDescent="0.2">
      <c r="A58" s="4" t="s">
        <v>136</v>
      </c>
      <c r="B58" s="4">
        <v>108</v>
      </c>
      <c r="C58" s="4" t="s">
        <v>129</v>
      </c>
    </row>
    <row r="59" spans="1:3" x14ac:dyDescent="0.2">
      <c r="A59" s="4" t="s">
        <v>137</v>
      </c>
      <c r="B59" s="4">
        <v>-4151</v>
      </c>
      <c r="C59" s="4" t="s">
        <v>138</v>
      </c>
    </row>
    <row r="60" spans="1:3" x14ac:dyDescent="0.2">
      <c r="A60" s="4" t="s">
        <v>173</v>
      </c>
      <c r="B60" s="4">
        <v>82</v>
      </c>
      <c r="C60" s="4" t="s">
        <v>139</v>
      </c>
    </row>
    <row r="61" spans="1:3" x14ac:dyDescent="0.2">
      <c r="A61" s="4" t="s">
        <v>174</v>
      </c>
      <c r="B61" s="4">
        <v>81</v>
      </c>
      <c r="C61" s="4" t="s">
        <v>140</v>
      </c>
    </row>
    <row r="62" spans="1:3" x14ac:dyDescent="0.2">
      <c r="A62" t="s">
        <v>141</v>
      </c>
      <c r="B62">
        <v>140</v>
      </c>
      <c r="C62" t="s">
        <v>142</v>
      </c>
    </row>
    <row r="63" spans="1:3" x14ac:dyDescent="0.2">
      <c r="A63" s="4" t="s">
        <v>143</v>
      </c>
      <c r="B63" s="4">
        <v>88</v>
      </c>
      <c r="C63" s="4" t="s">
        <v>144</v>
      </c>
    </row>
    <row r="64" spans="1:3" x14ac:dyDescent="0.2">
      <c r="A64" s="4" t="s">
        <v>145</v>
      </c>
      <c r="B64" s="4">
        <v>89</v>
      </c>
      <c r="C64" s="4" t="s">
        <v>146</v>
      </c>
    </row>
    <row r="65" spans="1:4" x14ac:dyDescent="0.2">
      <c r="A65" s="4" t="s">
        <v>147</v>
      </c>
      <c r="B65" s="4">
        <v>90</v>
      </c>
      <c r="C65" s="4" t="s">
        <v>148</v>
      </c>
    </row>
    <row r="66" spans="1:4" x14ac:dyDescent="0.2">
      <c r="A66" s="4" t="s">
        <v>149</v>
      </c>
      <c r="B66" s="4">
        <v>91</v>
      </c>
      <c r="C66" s="4" t="s">
        <v>150</v>
      </c>
    </row>
    <row r="67" spans="1:4" x14ac:dyDescent="0.2">
      <c r="A67" s="4" t="s">
        <v>151</v>
      </c>
      <c r="B67" s="4">
        <v>83</v>
      </c>
      <c r="C67" s="4" t="s">
        <v>152</v>
      </c>
    </row>
    <row r="68" spans="1:4" x14ac:dyDescent="0.2">
      <c r="A68" s="4" t="s">
        <v>153</v>
      </c>
      <c r="B68" s="4">
        <v>85</v>
      </c>
      <c r="C68" s="4" t="s">
        <v>154</v>
      </c>
    </row>
    <row r="69" spans="1:4" x14ac:dyDescent="0.2">
      <c r="A69" s="4" t="s">
        <v>155</v>
      </c>
      <c r="B69" s="4">
        <v>86</v>
      </c>
      <c r="C69" s="4" t="s">
        <v>156</v>
      </c>
    </row>
    <row r="70" spans="1:4" x14ac:dyDescent="0.2">
      <c r="A70" s="4" t="s">
        <v>157</v>
      </c>
      <c r="B70" s="4">
        <v>84</v>
      </c>
      <c r="C70" s="4" t="s">
        <v>158</v>
      </c>
    </row>
    <row r="71" spans="1:4" x14ac:dyDescent="0.2">
      <c r="A71" s="4" t="s">
        <v>159</v>
      </c>
      <c r="B71" s="4">
        <v>-4169</v>
      </c>
      <c r="C71" s="4" t="s">
        <v>160</v>
      </c>
      <c r="D71" t="s">
        <v>175</v>
      </c>
    </row>
    <row r="72" spans="1:4" x14ac:dyDescent="0.2">
      <c r="A72" s="4" t="s">
        <v>161</v>
      </c>
      <c r="B72" s="4">
        <v>74</v>
      </c>
      <c r="C72" s="4" t="s">
        <v>162</v>
      </c>
      <c r="D72" t="s">
        <v>175</v>
      </c>
    </row>
    <row r="73" spans="1:4" x14ac:dyDescent="0.2">
      <c r="A73" s="4" t="s">
        <v>163</v>
      </c>
      <c r="B73" s="4">
        <v>75</v>
      </c>
      <c r="C73" s="4" t="s">
        <v>164</v>
      </c>
      <c r="D73" t="s">
        <v>175</v>
      </c>
    </row>
    <row r="74" spans="1:4" x14ac:dyDescent="0.2">
      <c r="A74" s="4" t="s">
        <v>165</v>
      </c>
      <c r="B74" s="4">
        <v>72</v>
      </c>
      <c r="C74" s="4" t="s">
        <v>166</v>
      </c>
      <c r="D74" t="s">
        <v>175</v>
      </c>
    </row>
    <row r="75" spans="1:4" x14ac:dyDescent="0.2">
      <c r="A75" s="4" t="s">
        <v>167</v>
      </c>
      <c r="B75" s="4">
        <v>73</v>
      </c>
      <c r="C75" s="4" t="s">
        <v>168</v>
      </c>
      <c r="D75" t="s">
        <v>175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9"/>
  <sheetViews>
    <sheetView zoomScaleNormal="100" workbookViewId="0"/>
  </sheetViews>
  <sheetFormatPr defaultRowHeight="13.2" x14ac:dyDescent="0.2"/>
  <cols>
    <col min="1" max="1" width="19.109375" bestFit="1" customWidth="1"/>
  </cols>
  <sheetData>
    <row r="1" spans="1:5" x14ac:dyDescent="0.2">
      <c r="A1" t="s">
        <v>176</v>
      </c>
      <c r="B1" t="s">
        <v>185</v>
      </c>
      <c r="C1" t="s">
        <v>186</v>
      </c>
      <c r="D1" t="s">
        <v>190</v>
      </c>
      <c r="E1" t="s">
        <v>198</v>
      </c>
    </row>
    <row r="2" spans="1:5" x14ac:dyDescent="0.2">
      <c r="A2" t="s">
        <v>215</v>
      </c>
      <c r="B2" t="b">
        <v>1</v>
      </c>
      <c r="C2" t="b">
        <v>1</v>
      </c>
      <c r="D2" t="b">
        <v>0</v>
      </c>
      <c r="E2" t="b">
        <v>1</v>
      </c>
    </row>
    <row r="3" spans="1:5" x14ac:dyDescent="0.2">
      <c r="A3" t="s">
        <v>212</v>
      </c>
      <c r="B3" t="b">
        <v>1</v>
      </c>
      <c r="C3" t="b">
        <v>1</v>
      </c>
      <c r="D3" t="b">
        <v>1</v>
      </c>
      <c r="E3" t="b">
        <v>1</v>
      </c>
    </row>
    <row r="4" spans="1:5" x14ac:dyDescent="0.2">
      <c r="A4" t="s">
        <v>216</v>
      </c>
      <c r="B4" t="b">
        <v>1</v>
      </c>
      <c r="C4" t="b">
        <v>1</v>
      </c>
      <c r="D4" t="b">
        <v>1</v>
      </c>
      <c r="E4" t="b">
        <v>1</v>
      </c>
    </row>
    <row r="5" spans="1:5" x14ac:dyDescent="0.2">
      <c r="A5" t="s">
        <v>202</v>
      </c>
      <c r="B5" t="b">
        <v>1</v>
      </c>
      <c r="C5" t="b">
        <v>1</v>
      </c>
      <c r="D5" t="b">
        <v>1</v>
      </c>
      <c r="E5" t="b">
        <v>1</v>
      </c>
    </row>
    <row r="6" spans="1:5" x14ac:dyDescent="0.2">
      <c r="A6" t="s">
        <v>203</v>
      </c>
      <c r="B6" t="s">
        <v>177</v>
      </c>
      <c r="C6" t="s">
        <v>189</v>
      </c>
      <c r="D6" t="s">
        <v>191</v>
      </c>
      <c r="E6" t="s">
        <v>191</v>
      </c>
    </row>
    <row r="7" spans="1:5" x14ac:dyDescent="0.2">
      <c r="A7" t="s">
        <v>217</v>
      </c>
      <c r="B7" t="b">
        <v>1</v>
      </c>
      <c r="C7" t="b">
        <v>1</v>
      </c>
      <c r="D7" t="b">
        <v>1</v>
      </c>
      <c r="E7" t="b">
        <v>1</v>
      </c>
    </row>
    <row r="8" spans="1:5" x14ac:dyDescent="0.2">
      <c r="A8" t="s">
        <v>218</v>
      </c>
      <c r="B8" t="s">
        <v>178</v>
      </c>
      <c r="C8" t="s">
        <v>178</v>
      </c>
      <c r="D8" t="s">
        <v>192</v>
      </c>
      <c r="E8" t="s">
        <v>192</v>
      </c>
    </row>
    <row r="9" spans="1:5" x14ac:dyDescent="0.2">
      <c r="A9" t="s">
        <v>219</v>
      </c>
      <c r="B9" t="s">
        <v>179</v>
      </c>
      <c r="C9" t="s">
        <v>179</v>
      </c>
      <c r="D9" t="s">
        <v>193</v>
      </c>
      <c r="E9">
        <v>2</v>
      </c>
    </row>
    <row r="10" spans="1:5" x14ac:dyDescent="0.2">
      <c r="A10" t="s">
        <v>220</v>
      </c>
      <c r="B10" t="b">
        <v>1</v>
      </c>
      <c r="C10" t="b">
        <v>1</v>
      </c>
      <c r="D10" t="b">
        <v>0</v>
      </c>
      <c r="E10" t="b">
        <v>1</v>
      </c>
    </row>
    <row r="11" spans="1:5" x14ac:dyDescent="0.2">
      <c r="A11" t="s">
        <v>221</v>
      </c>
      <c r="B11">
        <v>-15</v>
      </c>
      <c r="C11" t="s">
        <v>179</v>
      </c>
      <c r="D11" t="s">
        <v>193</v>
      </c>
      <c r="E11">
        <v>0</v>
      </c>
    </row>
    <row r="12" spans="1:5" x14ac:dyDescent="0.2">
      <c r="A12" t="s">
        <v>222</v>
      </c>
      <c r="B12">
        <v>15</v>
      </c>
      <c r="C12" t="s">
        <v>179</v>
      </c>
      <c r="D12" t="s">
        <v>193</v>
      </c>
      <c r="E12">
        <v>100</v>
      </c>
    </row>
    <row r="13" spans="1:5" x14ac:dyDescent="0.2">
      <c r="A13" t="s">
        <v>223</v>
      </c>
      <c r="B13">
        <v>-10</v>
      </c>
      <c r="C13" t="s">
        <v>179</v>
      </c>
      <c r="D13">
        <v>55200</v>
      </c>
      <c r="E13">
        <v>55200</v>
      </c>
    </row>
    <row r="14" spans="1:5" x14ac:dyDescent="0.2">
      <c r="A14" t="s">
        <v>224</v>
      </c>
      <c r="B14">
        <v>10</v>
      </c>
      <c r="C14" t="s">
        <v>179</v>
      </c>
      <c r="D14">
        <v>55800</v>
      </c>
      <c r="E14">
        <v>56000</v>
      </c>
    </row>
    <row r="15" spans="1:5" x14ac:dyDescent="0.2">
      <c r="A15" t="s">
        <v>225</v>
      </c>
      <c r="B15">
        <v>5</v>
      </c>
      <c r="C15">
        <v>5</v>
      </c>
      <c r="D15" t="s">
        <v>193</v>
      </c>
      <c r="E15">
        <v>20</v>
      </c>
    </row>
    <row r="16" spans="1:5" x14ac:dyDescent="0.2">
      <c r="A16" t="s">
        <v>204</v>
      </c>
      <c r="B16">
        <v>5</v>
      </c>
      <c r="C16">
        <v>5</v>
      </c>
      <c r="D16" t="s">
        <v>193</v>
      </c>
      <c r="E16" t="s">
        <v>199</v>
      </c>
    </row>
    <row r="17" spans="1:5" x14ac:dyDescent="0.2">
      <c r="A17" t="s">
        <v>213</v>
      </c>
      <c r="B17" t="s">
        <v>182</v>
      </c>
      <c r="C17" t="s">
        <v>187</v>
      </c>
      <c r="D17" t="s">
        <v>196</v>
      </c>
      <c r="E17" t="s">
        <v>196</v>
      </c>
    </row>
    <row r="18" spans="1:5" x14ac:dyDescent="0.2">
      <c r="A18" t="s">
        <v>214</v>
      </c>
      <c r="B18" t="s">
        <v>182</v>
      </c>
      <c r="C18" t="s">
        <v>180</v>
      </c>
      <c r="D18" t="s">
        <v>197</v>
      </c>
      <c r="E18" t="s">
        <v>197</v>
      </c>
    </row>
    <row r="19" spans="1:5" x14ac:dyDescent="0.2">
      <c r="A19" t="s">
        <v>205</v>
      </c>
      <c r="B19">
        <v>50</v>
      </c>
      <c r="C19">
        <v>50</v>
      </c>
      <c r="D19">
        <v>50</v>
      </c>
      <c r="E19">
        <v>50</v>
      </c>
    </row>
    <row r="20" spans="1:5" x14ac:dyDescent="0.2">
      <c r="A20" t="s">
        <v>206</v>
      </c>
      <c r="B20">
        <v>11</v>
      </c>
      <c r="C20">
        <v>11</v>
      </c>
      <c r="D20">
        <v>10</v>
      </c>
      <c r="E20">
        <v>10</v>
      </c>
    </row>
    <row r="21" spans="1:5" x14ac:dyDescent="0.2">
      <c r="A21" t="s">
        <v>207</v>
      </c>
      <c r="B21">
        <v>35</v>
      </c>
      <c r="C21">
        <v>31</v>
      </c>
      <c r="D21">
        <v>20</v>
      </c>
      <c r="E21">
        <v>17</v>
      </c>
    </row>
    <row r="22" spans="1:5" x14ac:dyDescent="0.2">
      <c r="A22" t="s">
        <v>208</v>
      </c>
      <c r="B22" t="s">
        <v>184</v>
      </c>
      <c r="C22" t="s">
        <v>188</v>
      </c>
      <c r="D22" t="s">
        <v>194</v>
      </c>
      <c r="E22" t="s">
        <v>200</v>
      </c>
    </row>
    <row r="23" spans="1:5" x14ac:dyDescent="0.2">
      <c r="A23" t="s">
        <v>226</v>
      </c>
      <c r="B23">
        <v>3</v>
      </c>
      <c r="C23">
        <v>1</v>
      </c>
      <c r="D23">
        <v>1</v>
      </c>
      <c r="E23">
        <v>1</v>
      </c>
    </row>
    <row r="24" spans="1:5" x14ac:dyDescent="0.2">
      <c r="A24" t="s">
        <v>209</v>
      </c>
      <c r="B24">
        <v>15</v>
      </c>
      <c r="C24">
        <v>3</v>
      </c>
      <c r="D24">
        <v>2</v>
      </c>
      <c r="E24">
        <v>2</v>
      </c>
    </row>
    <row r="25" spans="1:5" x14ac:dyDescent="0.2">
      <c r="A25" t="s">
        <v>227</v>
      </c>
      <c r="B25" t="s">
        <v>183</v>
      </c>
      <c r="C25" t="s">
        <v>181</v>
      </c>
      <c r="D25" t="s">
        <v>195</v>
      </c>
      <c r="E25" t="s">
        <v>201</v>
      </c>
    </row>
    <row r="26" spans="1:5" x14ac:dyDescent="0.2">
      <c r="A26" t="s">
        <v>210</v>
      </c>
      <c r="B26">
        <v>5</v>
      </c>
      <c r="C26">
        <v>6</v>
      </c>
      <c r="D26">
        <v>3</v>
      </c>
      <c r="E26">
        <v>3</v>
      </c>
    </row>
    <row r="27" spans="1:5" x14ac:dyDescent="0.2">
      <c r="A27" t="s">
        <v>211</v>
      </c>
      <c r="B27" t="b">
        <v>0</v>
      </c>
      <c r="C27" t="b">
        <v>0</v>
      </c>
      <c r="D27" t="b">
        <v>0</v>
      </c>
      <c r="E27" t="b">
        <v>0</v>
      </c>
    </row>
    <row r="28" spans="1:5" x14ac:dyDescent="0.2">
      <c r="A28" t="s">
        <v>228</v>
      </c>
      <c r="B28" t="b">
        <v>1</v>
      </c>
      <c r="C28" t="b">
        <v>1</v>
      </c>
      <c r="D28" t="b">
        <v>1</v>
      </c>
      <c r="E28" t="b">
        <v>1</v>
      </c>
    </row>
    <row r="29" spans="1:5" x14ac:dyDescent="0.2">
      <c r="A29" t="s">
        <v>229</v>
      </c>
      <c r="C29" t="b">
        <v>1</v>
      </c>
      <c r="D29" t="b">
        <v>0</v>
      </c>
      <c r="E29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</vt:lpstr>
      <vt:lpstr>お試し</vt:lpstr>
      <vt:lpstr>ListBox123789</vt:lpstr>
      <vt:lpstr>ChartType</vt:lpstr>
      <vt:lpstr>profile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2016mujig2</dc:creator>
  <cp:lastModifiedBy>server1</cp:lastModifiedBy>
  <dcterms:created xsi:type="dcterms:W3CDTF">2018-07-17T08:33:51Z</dcterms:created>
  <dcterms:modified xsi:type="dcterms:W3CDTF">2020-09-12T16:01:10Z</dcterms:modified>
</cp:coreProperties>
</file>