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Documsnts\asciidoc\asciidoc\excel\"/>
    </mc:Choice>
  </mc:AlternateContent>
  <xr:revisionPtr revIDLastSave="0" documentId="13_ncr:1_{4B4AC1F4-5C6C-490C-88DE-BBDF1E8961FB}" xr6:coauthVersionLast="46" xr6:coauthVersionMax="46" xr10:uidLastSave="{00000000-0000-0000-0000-000000000000}"/>
  <bookViews>
    <workbookView xWindow="-120" yWindow="-120" windowWidth="19440" windowHeight="11640" activeTab="2" xr2:uid="{00000000-000D-0000-FFFF-FFFF00000000}"/>
  </bookViews>
  <sheets>
    <sheet name="Sheet" sheetId="1" r:id="rId1"/>
    <sheet name="Sheet1" sheetId="7" r:id="rId2"/>
    <sheet name="お試し" sheetId="2" r:id="rId3"/>
    <sheet name="色" sheetId="8" r:id="rId4"/>
    <sheet name="ListBox1" sheetId="4" r:id="rId5"/>
    <sheet name="ChartType" sheetId="5" r:id="rId6"/>
    <sheet name="profile" sheetId="6" r:id="rId7"/>
  </sheets>
  <functionGroups builtInGroupCount="19"/>
  <definedNames>
    <definedName name="aaa" hidden="1">Sheet!$AA$12:$AA$14</definedName>
    <definedName name="bbb" hidden="1">Sheet!$AB$11</definedName>
    <definedName name="ccc" hidden="1">Sheet!$AB$12:$AB$14</definedName>
    <definedName name="ddd" hidden="1">Sheet!$AC$11</definedName>
    <definedName name="eee" hidden="1">Sheet!$AC$12:$AC$14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1" l="1"/>
  <c r="A10" i="1"/>
  <c r="A8" i="1"/>
  <c r="A7" i="1"/>
  <c r="A6" i="1" l="1"/>
  <c r="A3" i="1" l="1"/>
  <c r="A2" i="1"/>
  <c r="A1" i="1"/>
  <c r="L137" i="2" l="1"/>
  <c r="K137" i="2"/>
  <c r="J137" i="2"/>
  <c r="I137" i="2"/>
  <c r="H137" i="2"/>
  <c r="G137" i="2"/>
  <c r="F137" i="2"/>
  <c r="E137" i="2"/>
  <c r="D137" i="2"/>
  <c r="C137" i="2"/>
  <c r="I136" i="2"/>
  <c r="H136" i="2"/>
  <c r="C136" i="2"/>
  <c r="L134" i="2"/>
  <c r="K134" i="2"/>
  <c r="J134" i="2"/>
  <c r="I134" i="2"/>
  <c r="H134" i="2"/>
  <c r="G134" i="2"/>
  <c r="F134" i="2"/>
  <c r="E134" i="2"/>
  <c r="D134" i="2"/>
  <c r="C134" i="2"/>
  <c r="D27" i="2"/>
  <c r="D28" i="2" s="1"/>
  <c r="C28" i="2" s="1"/>
  <c r="D23" i="2"/>
  <c r="D25" i="2" s="1"/>
  <c r="C25" i="2" s="1"/>
  <c r="S21" i="2"/>
  <c r="R21" i="2"/>
  <c r="Q21" i="2"/>
  <c r="P21" i="2"/>
  <c r="O21" i="2"/>
  <c r="N21" i="2"/>
  <c r="M21" i="2"/>
  <c r="L21" i="2"/>
  <c r="K21" i="2"/>
  <c r="J21" i="2"/>
  <c r="R20" i="2"/>
  <c r="Q20" i="2"/>
  <c r="P20" i="2"/>
  <c r="O20" i="2"/>
  <c r="N20" i="2"/>
  <c r="M20" i="2"/>
  <c r="L20" i="2"/>
  <c r="K20" i="2"/>
  <c r="J20" i="2"/>
  <c r="S19" i="2"/>
  <c r="R19" i="2"/>
  <c r="Q19" i="2"/>
  <c r="P19" i="2"/>
  <c r="O19" i="2"/>
  <c r="N19" i="2"/>
  <c r="M19" i="2"/>
  <c r="L19" i="2"/>
  <c r="K19" i="2"/>
  <c r="J19" i="2"/>
  <c r="S18" i="2"/>
  <c r="R18" i="2"/>
  <c r="Q18" i="2"/>
  <c r="P18" i="2"/>
  <c r="O18" i="2"/>
  <c r="N18" i="2"/>
  <c r="M18" i="2"/>
  <c r="L18" i="2"/>
  <c r="K18" i="2"/>
  <c r="J18" i="2"/>
  <c r="S17" i="2"/>
  <c r="R17" i="2"/>
  <c r="Q17" i="2"/>
  <c r="P17" i="2"/>
  <c r="O17" i="2"/>
  <c r="N17" i="2"/>
  <c r="M17" i="2"/>
  <c r="L17" i="2"/>
  <c r="K17" i="2"/>
  <c r="J17" i="2"/>
  <c r="S16" i="2"/>
  <c r="R16" i="2"/>
  <c r="Q16" i="2"/>
  <c r="P16" i="2"/>
  <c r="O16" i="2"/>
  <c r="N16" i="2"/>
  <c r="M16" i="2"/>
  <c r="L16" i="2"/>
  <c r="K16" i="2"/>
  <c r="J16" i="2"/>
  <c r="S15" i="2"/>
  <c r="R15" i="2"/>
  <c r="Q15" i="2"/>
  <c r="P15" i="2"/>
  <c r="O15" i="2"/>
  <c r="N15" i="2"/>
  <c r="M15" i="2"/>
  <c r="L15" i="2"/>
  <c r="K15" i="2"/>
  <c r="J15" i="2"/>
  <c r="S14" i="2"/>
  <c r="R14" i="2"/>
  <c r="Q14" i="2"/>
  <c r="P14" i="2"/>
  <c r="O14" i="2"/>
  <c r="N14" i="2"/>
  <c r="M14" i="2"/>
  <c r="L14" i="2"/>
  <c r="K14" i="2"/>
  <c r="J14" i="2"/>
  <c r="S13" i="2"/>
  <c r="R13" i="2"/>
  <c r="Q13" i="2"/>
  <c r="P13" i="2"/>
  <c r="O13" i="2"/>
  <c r="N13" i="2"/>
  <c r="M13" i="2"/>
  <c r="L13" i="2"/>
  <c r="K13" i="2"/>
  <c r="J13" i="2"/>
  <c r="S12" i="2"/>
  <c r="R12" i="2"/>
  <c r="Q12" i="2"/>
  <c r="P12" i="2"/>
  <c r="O12" i="2"/>
  <c r="N12" i="2"/>
  <c r="M12" i="2"/>
  <c r="L12" i="2"/>
  <c r="K12" i="2"/>
  <c r="J12" i="2"/>
  <c r="A1" i="2"/>
  <c r="AA27" i="1"/>
  <c r="AA29" i="1" s="1"/>
  <c r="Z29" i="1" s="1"/>
  <c r="AA23" i="1"/>
  <c r="AA25" i="1" s="1"/>
  <c r="Z25" i="1" s="1"/>
  <c r="X1" i="1"/>
  <c r="D29" i="2" l="1"/>
  <c r="C29" i="2" s="1"/>
  <c r="AA24" i="1"/>
  <c r="Z24" i="1" s="1"/>
  <c r="AA28" i="1"/>
  <c r="Z28" i="1" s="1"/>
  <c r="D24" i="2"/>
  <c r="C24" i="2" s="1"/>
</calcChain>
</file>

<file path=xl/sharedStrings.xml><?xml version="1.0" encoding="utf-8"?>
<sst xmlns="http://schemas.openxmlformats.org/spreadsheetml/2006/main" count="520" uniqueCount="376">
  <si>
    <t>w</t>
    <phoneticPr fontId="1"/>
  </si>
  <si>
    <t>x</t>
    <phoneticPr fontId="1"/>
  </si>
  <si>
    <t>s</t>
    <phoneticPr fontId="1"/>
  </si>
  <si>
    <t>f</t>
    <phoneticPr fontId="1"/>
  </si>
  <si>
    <t>title</t>
    <phoneticPr fontId="1"/>
  </si>
  <si>
    <t>ｆ</t>
    <phoneticPr fontId="1"/>
  </si>
  <si>
    <t>赤</t>
    <rPh sb="0" eb="1">
      <t>アカ</t>
    </rPh>
    <phoneticPr fontId="1"/>
  </si>
  <si>
    <t>黄</t>
    <rPh sb="0" eb="1">
      <t>キ</t>
    </rPh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</si>
  <si>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</si>
  <si>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</si>
  <si>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橙</t>
    <rPh sb="0" eb="1">
      <t>ダイダイ</t>
    </rPh>
    <phoneticPr fontId="1"/>
  </si>
  <si>
    <t>茶</t>
    <rPh sb="0" eb="1">
      <t>チャ</t>
    </rPh>
    <phoneticPr fontId="1"/>
  </si>
  <si>
    <t>藍</t>
    <rPh sb="0" eb="1">
      <t>アイ</t>
    </rPh>
    <phoneticPr fontId="1"/>
  </si>
  <si>
    <t>紫</t>
    <rPh sb="0" eb="1">
      <t>ムラサキ</t>
    </rPh>
    <phoneticPr fontId="1"/>
  </si>
  <si>
    <t>灰</t>
    <rPh sb="0" eb="1">
      <t>ハイ</t>
    </rPh>
    <phoneticPr fontId="1"/>
  </si>
  <si>
    <t>白</t>
    <rPh sb="0" eb="1">
      <t>シロ</t>
    </rPh>
    <phoneticPr fontId="1"/>
  </si>
  <si>
    <t>黒</t>
    <rPh sb="0" eb="1">
      <t>クロ</t>
    </rPh>
    <phoneticPr fontId="1"/>
  </si>
  <si>
    <t>aa</t>
    <phoneticPr fontId="1"/>
  </si>
  <si>
    <t>Name</t>
    <phoneticPr fontId="1"/>
  </si>
  <si>
    <t>タイトル</t>
    <phoneticPr fontId="1"/>
  </si>
  <si>
    <t>グラフ</t>
    <phoneticPr fontId="1"/>
  </si>
  <si>
    <t>種類</t>
    <phoneticPr fontId="1"/>
  </si>
  <si>
    <t>幅</t>
    <phoneticPr fontId="1"/>
  </si>
  <si>
    <t>高</t>
    <phoneticPr fontId="1"/>
  </si>
  <si>
    <t>x軸最小</t>
    <phoneticPr fontId="1"/>
  </si>
  <si>
    <t>x軸最大</t>
    <phoneticPr fontId="1"/>
  </si>
  <si>
    <t>Y軸最小</t>
    <phoneticPr fontId="1"/>
  </si>
  <si>
    <t>Y軸最大</t>
    <phoneticPr fontId="1"/>
  </si>
  <si>
    <t>値</t>
  </si>
  <si>
    <t>xl3DArea</t>
  </si>
  <si>
    <t>3-D 面</t>
  </si>
  <si>
    <t>3-D 積み上げ面</t>
  </si>
  <si>
    <t>xl3DAreaStacked100</t>
  </si>
  <si>
    <t>100% 積み上げ面</t>
  </si>
  <si>
    <t>xl3DBarClustered</t>
  </si>
  <si>
    <t>3-D 集合横棒</t>
  </si>
  <si>
    <t>xl3DBarStacked</t>
  </si>
  <si>
    <t>3-D 積み上げ横棒</t>
  </si>
  <si>
    <t>xl3DBarStacked100</t>
  </si>
  <si>
    <t>3-D 100% 積み上げ横棒</t>
  </si>
  <si>
    <t>xl3DColumn</t>
  </si>
  <si>
    <t>3-D 縦棒</t>
  </si>
  <si>
    <t>xl3DColumnClustered</t>
  </si>
  <si>
    <t>3-D 集合縦棒</t>
  </si>
  <si>
    <t>xl3DColumnStacked</t>
  </si>
  <si>
    <t>3-D 積み上げ縦棒</t>
  </si>
  <si>
    <t>xl3DColumnStacked100</t>
  </si>
  <si>
    <t>3-D 100% 積み上げ縦棒</t>
  </si>
  <si>
    <t>xl3DLine</t>
  </si>
  <si>
    <t>3-D 折れ線</t>
  </si>
  <si>
    <t>xl3DPie</t>
  </si>
  <si>
    <t>3-D 円</t>
  </si>
  <si>
    <t>xl3DPieExploded</t>
  </si>
  <si>
    <t>分割 3-D 円</t>
  </si>
  <si>
    <t>xlArea</t>
  </si>
  <si>
    <t>積み上げ面</t>
  </si>
  <si>
    <t>xlAreaStacked100</t>
  </si>
  <si>
    <t>xlBarClustered</t>
  </si>
  <si>
    <t>集合横棒</t>
  </si>
  <si>
    <t>xlBarOfPie</t>
  </si>
  <si>
    <t>補助縦棒グラフ付き円</t>
  </si>
  <si>
    <t>xlBarStacked</t>
  </si>
  <si>
    <t>積み上げ横棒</t>
  </si>
  <si>
    <t>xlBarStacked100</t>
  </si>
  <si>
    <t>xlBubble</t>
  </si>
  <si>
    <t>バブル</t>
  </si>
  <si>
    <t>xlBubble3DEffect</t>
  </si>
  <si>
    <t>3-D 効果付きバブル</t>
  </si>
  <si>
    <t>xlColumnClustered</t>
  </si>
  <si>
    <t>集合縦棒</t>
  </si>
  <si>
    <t>積み上げ縦棒</t>
  </si>
  <si>
    <t>xlColumnStacked100</t>
  </si>
  <si>
    <t>100% 積み上げ縦棒</t>
  </si>
  <si>
    <t>xlConeBarClustered</t>
  </si>
  <si>
    <t>集合円錐型横棒</t>
  </si>
  <si>
    <t>xlConeBarStacked</t>
  </si>
  <si>
    <t>積み上げ円錐型横棒</t>
  </si>
  <si>
    <t>xlConeBarStacked100</t>
  </si>
  <si>
    <t>100% 積み上げ円錐型横棒</t>
  </si>
  <si>
    <t>xlConeCol</t>
  </si>
  <si>
    <t>3-D 円錐型縦棒</t>
  </si>
  <si>
    <t>xlConeColClustered</t>
  </si>
  <si>
    <t>集合円錐型縦棒</t>
  </si>
  <si>
    <t>xlConeColStacked</t>
  </si>
  <si>
    <t>積み上げ円錐型縦棒</t>
  </si>
  <si>
    <t>xlConeColStacked100</t>
  </si>
  <si>
    <t>100% 積み上げ円錐型縦棒</t>
  </si>
  <si>
    <t>xlCylinderBarClustered</t>
  </si>
  <si>
    <t>集合円柱型横棒</t>
  </si>
  <si>
    <t>xlCylinderBarStacked</t>
  </si>
  <si>
    <t>積み上げ円柱型横棒</t>
  </si>
  <si>
    <t>xlCylinderBarStacked100</t>
  </si>
  <si>
    <t>100% 積み上げ円柱型横棒</t>
  </si>
  <si>
    <t>xlCylinderCol</t>
  </si>
  <si>
    <t>3-D 円柱型縦棒</t>
  </si>
  <si>
    <t>xlCylinderColClustered</t>
  </si>
  <si>
    <t>xlCylinderColStacked</t>
  </si>
  <si>
    <t>xlCylinderColStacked100</t>
  </si>
  <si>
    <t>100% 積み上げ円柱型縦棒</t>
  </si>
  <si>
    <t>xlDoughnut</t>
  </si>
  <si>
    <t>ドーナツ</t>
  </si>
  <si>
    <t>xlDoughnutExploded</t>
  </si>
  <si>
    <t>分割ドーナツ</t>
  </si>
  <si>
    <t>xlLine</t>
  </si>
  <si>
    <t>折れ線</t>
  </si>
  <si>
    <t>xlLineMarkers</t>
  </si>
  <si>
    <t>マーカー付き折れ線</t>
  </si>
  <si>
    <t>xlLineMarkersStacked</t>
  </si>
  <si>
    <t>マーカー付き積み上げ折れ線</t>
  </si>
  <si>
    <t>xlLineMarkersStacked100</t>
  </si>
  <si>
    <t>マーカー付き 100% 積み上げ折れ線</t>
  </si>
  <si>
    <t>xlLineStacked</t>
  </si>
  <si>
    <t>積み上げ折れ線</t>
  </si>
  <si>
    <t>xlLineStacked100</t>
  </si>
  <si>
    <t>100% 積み上げ折れ線</t>
  </si>
  <si>
    <t>xlPie</t>
  </si>
  <si>
    <t>円</t>
  </si>
  <si>
    <t>xlPieExploded</t>
  </si>
  <si>
    <t>分割円</t>
  </si>
  <si>
    <t>xlPieOfPie</t>
  </si>
  <si>
    <t>補助円グラフ付き円</t>
  </si>
  <si>
    <t>xlPyramidBarClustered</t>
  </si>
  <si>
    <t>集合ピラミッド型横棒</t>
  </si>
  <si>
    <t>xlPyramidBarStacked</t>
  </si>
  <si>
    <t>積み上げピラミッド型横棒</t>
  </si>
  <si>
    <t>xlPyramidBarStacked100</t>
  </si>
  <si>
    <t>100% 積み上げピラミッド型横棒</t>
  </si>
  <si>
    <t>xlPyramidCol</t>
  </si>
  <si>
    <t>3-D ピラミッド型縦棒</t>
  </si>
  <si>
    <t>xlPyramidColClustered</t>
  </si>
  <si>
    <t>集合ピラミッド型縦棒</t>
  </si>
  <si>
    <t>xlPyramidColStacked</t>
  </si>
  <si>
    <t>積み上げピラミッド型縦棒</t>
  </si>
  <si>
    <t>xlPyramidColStacked100</t>
  </si>
  <si>
    <t>xlRadar</t>
  </si>
  <si>
    <t>レーダー</t>
  </si>
  <si>
    <t>塗りつぶしレーダー</t>
  </si>
  <si>
    <t>データ マーカー付きレーダー</t>
  </si>
  <si>
    <t>xlRegionMap</t>
  </si>
  <si>
    <t>マップグラフ。</t>
  </si>
  <si>
    <t>xlStockHLC</t>
  </si>
  <si>
    <t>高値 - 安値 - 終値</t>
  </si>
  <si>
    <t>xlStockOHLC</t>
  </si>
  <si>
    <t>始値 - 高値 - 安値 - 終値</t>
  </si>
  <si>
    <t>xlStockVHLC</t>
  </si>
  <si>
    <t>出来高 - 高値 - 安値 - 終値</t>
  </si>
  <si>
    <t>xlStockVOHLC</t>
  </si>
  <si>
    <t>出来高 - 始値 - 高値 - 安値 - 終値</t>
  </si>
  <si>
    <t>xlSurface</t>
  </si>
  <si>
    <t>3-D 表面</t>
  </si>
  <si>
    <t>xlSurfaceTopView</t>
  </si>
  <si>
    <t>表面 (トップ ビュー)</t>
  </si>
  <si>
    <t>xlSurfaceTopViewWireframe</t>
  </si>
  <si>
    <t>表面 (トップ ビュー - ワイヤーフレーム)</t>
  </si>
  <si>
    <t>xlSurfaceWireframe</t>
  </si>
  <si>
    <t>3-D 表面 (ワイヤーフレーム)</t>
  </si>
  <si>
    <t>xlXYScatter</t>
  </si>
  <si>
    <t>散布図</t>
  </si>
  <si>
    <t>xlXYScatterLines</t>
  </si>
  <si>
    <t>折れ線付き散布図</t>
  </si>
  <si>
    <t>xlXYScatterLinesNoMarkers</t>
  </si>
  <si>
    <t>折れ線付き散布図 (データ マーカーなし)</t>
  </si>
  <si>
    <t>xlXYScatterSmooth</t>
  </si>
  <si>
    <t>平滑線付き散布図</t>
  </si>
  <si>
    <t>xlXYScatterSmoothNoMarkers</t>
  </si>
  <si>
    <t>平滑線付き散布図 (データ マーカーなし)</t>
  </si>
  <si>
    <t>定数</t>
  </si>
  <si>
    <t>意味</t>
  </si>
  <si>
    <t>面</t>
  </si>
  <si>
    <t>xlAreaStacked</t>
  </si>
  <si>
    <t>xlRadarFilled</t>
  </si>
  <si>
    <t>xlRadarMarkers</t>
  </si>
  <si>
    <t>★</t>
    <phoneticPr fontId="1"/>
  </si>
  <si>
    <t>profile name</t>
    <phoneticPr fontId="1"/>
  </si>
  <si>
    <t>右</t>
    <phoneticPr fontId="1"/>
  </si>
  <si>
    <t>-</t>
    <phoneticPr fontId="1"/>
  </si>
  <si>
    <t>スループット[bps]</t>
    <phoneticPr fontId="1"/>
  </si>
  <si>
    <t>↓</t>
    <phoneticPr fontId="1"/>
  </si>
  <si>
    <t>経過時間[sec]</t>
    <phoneticPr fontId="1"/>
  </si>
  <si>
    <t>●</t>
    <phoneticPr fontId="1"/>
  </si>
  <si>
    <t>RTT</t>
    <phoneticPr fontId="1"/>
  </si>
  <si>
    <t>＋</t>
    <phoneticPr fontId="1"/>
  </si>
  <si>
    <t>右</t>
    <phoneticPr fontId="1"/>
  </si>
  <si>
    <t>-</t>
    <phoneticPr fontId="1"/>
  </si>
  <si>
    <t>E6</t>
    <phoneticPr fontId="1"/>
  </si>
  <si>
    <t>↓</t>
    <phoneticPr fontId="1"/>
  </si>
  <si>
    <t>RTT[ns]</t>
    <phoneticPr fontId="1"/>
  </si>
  <si>
    <t>CDF[%]</t>
    <phoneticPr fontId="1"/>
  </si>
  <si>
    <t>RTT2</t>
    <phoneticPr fontId="1"/>
  </si>
  <si>
    <t>auto</t>
    <phoneticPr fontId="1"/>
  </si>
  <si>
    <t>B15</t>
    <phoneticPr fontId="1"/>
  </si>
  <si>
    <t>→</t>
    <phoneticPr fontId="1"/>
  </si>
  <si>
    <t>Name</t>
    <phoneticPr fontId="1"/>
  </si>
  <si>
    <t>タイトル</t>
    <phoneticPr fontId="1"/>
  </si>
  <si>
    <t>グラフ</t>
    <phoneticPr fontId="1"/>
  </si>
  <si>
    <t>種類</t>
    <phoneticPr fontId="1"/>
  </si>
  <si>
    <t>幅</t>
    <phoneticPr fontId="1"/>
  </si>
  <si>
    <t>高</t>
    <phoneticPr fontId="1"/>
  </si>
  <si>
    <t>x軸最小</t>
    <phoneticPr fontId="1"/>
  </si>
  <si>
    <t>x軸最大</t>
    <phoneticPr fontId="1"/>
  </si>
  <si>
    <t>Y軸最小</t>
    <phoneticPr fontId="1"/>
  </si>
  <si>
    <t>Y軸最大</t>
    <phoneticPr fontId="1"/>
  </si>
  <si>
    <t>-</t>
  </si>
  <si>
    <t>軌道マップ</t>
    <phoneticPr fontId="1"/>
  </si>
  <si>
    <t>C13</t>
    <phoneticPr fontId="1"/>
  </si>
  <si>
    <t>xlColumnStacked</t>
    <phoneticPr fontId="1"/>
  </si>
  <si>
    <t>MHI</t>
  </si>
  <si>
    <t>＋</t>
  </si>
  <si>
    <t>右</t>
  </si>
  <si>
    <t>距離[m]</t>
  </si>
  <si>
    <t>E15</t>
  </si>
  <si>
    <t>→</t>
  </si>
  <si>
    <t>abc</t>
    <phoneticPr fontId="1"/>
  </si>
  <si>
    <t>def</t>
    <phoneticPr fontId="1"/>
  </si>
  <si>
    <t>que</t>
    <phoneticPr fontId="1"/>
  </si>
  <si>
    <t>nice</t>
    <phoneticPr fontId="1"/>
  </si>
  <si>
    <t>xyz</t>
    <phoneticPr fontId="1"/>
  </si>
  <si>
    <t>MHIまとめ5周歩行</t>
    <phoneticPr fontId="1"/>
  </si>
  <si>
    <t>＋</t>
    <phoneticPr fontId="1"/>
  </si>
  <si>
    <t>右</t>
    <phoneticPr fontId="1"/>
  </si>
  <si>
    <t>-</t>
    <phoneticPr fontId="1"/>
  </si>
  <si>
    <t>距離[m]</t>
    <phoneticPr fontId="1"/>
  </si>
  <si>
    <t>E21</t>
    <phoneticPr fontId="1"/>
  </si>
  <si>
    <t>→</t>
    <phoneticPr fontId="1"/>
  </si>
  <si>
    <t>10秒間隔の誤差</t>
    <phoneticPr fontId="1"/>
  </si>
  <si>
    <t>●</t>
    <phoneticPr fontId="1"/>
  </si>
  <si>
    <t>右</t>
    <phoneticPr fontId="1"/>
  </si>
  <si>
    <t>-</t>
    <phoneticPr fontId="1"/>
  </si>
  <si>
    <t>auto</t>
    <phoneticPr fontId="1"/>
  </si>
  <si>
    <t>平均期間[sec]</t>
    <phoneticPr fontId="1"/>
  </si>
  <si>
    <t>誤差[m]</t>
    <phoneticPr fontId="1"/>
  </si>
  <si>
    <t>B24</t>
    <phoneticPr fontId="1"/>
  </si>
  <si>
    <t>↓</t>
    <phoneticPr fontId="1"/>
  </si>
  <si>
    <t>C:\Users\server1\Documents\excelマクロ</t>
  </si>
  <si>
    <t>PAL0929</t>
    <phoneticPr fontId="1"/>
  </si>
  <si>
    <t>＋</t>
    <phoneticPr fontId="1"/>
  </si>
  <si>
    <t>右</t>
    <phoneticPr fontId="1"/>
  </si>
  <si>
    <t>-</t>
    <phoneticPr fontId="1"/>
  </si>
  <si>
    <t>距離[m]</t>
    <phoneticPr fontId="1"/>
  </si>
  <si>
    <t>E6</t>
    <phoneticPr fontId="1"/>
  </si>
  <si>
    <t>↓</t>
    <phoneticPr fontId="1"/>
  </si>
  <si>
    <t>濃い赤</t>
  </si>
  <si>
    <t>濃い赤</t>
    <rPh sb="0" eb="1">
      <t>コ</t>
    </rPh>
    <rPh sb="2" eb="3">
      <t>アカ</t>
    </rPh>
    <phoneticPr fontId="1"/>
  </si>
  <si>
    <t>赤</t>
  </si>
  <si>
    <t>橙</t>
  </si>
  <si>
    <t>黄</t>
  </si>
  <si>
    <t>薄い青</t>
  </si>
  <si>
    <t>薄い青</t>
    <rPh sb="0" eb="1">
      <t>ウス</t>
    </rPh>
    <rPh sb="2" eb="3">
      <t>アオ</t>
    </rPh>
    <phoneticPr fontId="1"/>
  </si>
  <si>
    <t>薄い緑</t>
  </si>
  <si>
    <t>薄い緑</t>
    <rPh sb="0" eb="1">
      <t>ウス</t>
    </rPh>
    <rPh sb="2" eb="3">
      <t>ミドリ</t>
    </rPh>
    <phoneticPr fontId="1"/>
  </si>
  <si>
    <t>緑</t>
  </si>
  <si>
    <t>濃い青</t>
  </si>
  <si>
    <t>濃い青</t>
    <rPh sb="0" eb="1">
      <t>コ</t>
    </rPh>
    <rPh sb="2" eb="3">
      <t>アオ</t>
    </rPh>
    <phoneticPr fontId="1"/>
  </si>
  <si>
    <t>名称</t>
    <rPh sb="0" eb="2">
      <t>メイショウ</t>
    </rPh>
    <phoneticPr fontId="1"/>
  </si>
  <si>
    <t>B</t>
    <phoneticPr fontId="1"/>
  </si>
  <si>
    <t>薄い灰</t>
    <rPh sb="0" eb="1">
      <t>ウス</t>
    </rPh>
    <rPh sb="2" eb="3">
      <t>ハイ</t>
    </rPh>
    <phoneticPr fontId="1"/>
  </si>
  <si>
    <t>アクセント1</t>
  </si>
  <si>
    <t>アクセント2</t>
  </si>
  <si>
    <t>アクセント3</t>
  </si>
  <si>
    <t>アクセント4</t>
  </si>
  <si>
    <t>アクセント5</t>
  </si>
  <si>
    <t>アクセント6</t>
  </si>
  <si>
    <t>xl3DAreaStacked</t>
    <phoneticPr fontId="1"/>
  </si>
  <si>
    <t>R/mso</t>
    <phoneticPr fontId="1"/>
  </si>
  <si>
    <t>G/</t>
    <phoneticPr fontId="1"/>
  </si>
  <si>
    <t>RGB</t>
    <phoneticPr fontId="1"/>
  </si>
  <si>
    <t>ObjectThemeColor</t>
    <phoneticPr fontId="1"/>
  </si>
  <si>
    <t>アクセント1,白 80%</t>
    <rPh sb="7" eb="8">
      <t>シロ</t>
    </rPh>
    <phoneticPr fontId="1"/>
  </si>
  <si>
    <t>アクセント1,白 60%</t>
    <rPh sb="7" eb="8">
      <t>シロ</t>
    </rPh>
    <phoneticPr fontId="1"/>
  </si>
  <si>
    <t>アクセント1,白 40%</t>
    <rPh sb="7" eb="8">
      <t>シロ</t>
    </rPh>
    <phoneticPr fontId="1"/>
  </si>
  <si>
    <t>アクセント1,黒 25%</t>
    <rPh sb="7" eb="8">
      <t>クロ</t>
    </rPh>
    <phoneticPr fontId="1"/>
  </si>
  <si>
    <t>アクセント1,黒 50%</t>
    <rPh sb="7" eb="8">
      <t>クロ</t>
    </rPh>
    <phoneticPr fontId="1"/>
  </si>
  <si>
    <t>msoThemeColorAccent1</t>
    <phoneticPr fontId="1"/>
  </si>
  <si>
    <t>msoThemeColorAccent2</t>
  </si>
  <si>
    <t>アクセント2,白 80%</t>
    <rPh sb="7" eb="8">
      <t>シロ</t>
    </rPh>
    <phoneticPr fontId="1"/>
  </si>
  <si>
    <t>アクセント2,白 60%</t>
    <rPh sb="7" eb="8">
      <t>シロ</t>
    </rPh>
    <phoneticPr fontId="1"/>
  </si>
  <si>
    <t>アクセント2,白 40%</t>
    <rPh sb="7" eb="8">
      <t>シロ</t>
    </rPh>
    <phoneticPr fontId="1"/>
  </si>
  <si>
    <t>アクセント2,黒 25%</t>
    <rPh sb="7" eb="8">
      <t>クロ</t>
    </rPh>
    <phoneticPr fontId="1"/>
  </si>
  <si>
    <t>アクセント2,黒 50%</t>
    <rPh sb="7" eb="8">
      <t>クロ</t>
    </rPh>
    <phoneticPr fontId="1"/>
  </si>
  <si>
    <t>msoThemeColorAccent3</t>
  </si>
  <si>
    <t>アクセント3,白 80%</t>
    <rPh sb="7" eb="8">
      <t>シロ</t>
    </rPh>
    <phoneticPr fontId="1"/>
  </si>
  <si>
    <t>アクセント3,白 60%</t>
    <rPh sb="7" eb="8">
      <t>シロ</t>
    </rPh>
    <phoneticPr fontId="1"/>
  </si>
  <si>
    <t>アクセント3,白 40%</t>
    <rPh sb="7" eb="8">
      <t>シロ</t>
    </rPh>
    <phoneticPr fontId="1"/>
  </si>
  <si>
    <t>アクセント3,黒 25%</t>
    <rPh sb="7" eb="8">
      <t>クロ</t>
    </rPh>
    <phoneticPr fontId="1"/>
  </si>
  <si>
    <t>アクセント3,黒 50%</t>
    <rPh sb="7" eb="8">
      <t>クロ</t>
    </rPh>
    <phoneticPr fontId="1"/>
  </si>
  <si>
    <t>msoThemeColorAccent4</t>
  </si>
  <si>
    <t>アクセント4,白 80%</t>
    <rPh sb="7" eb="8">
      <t>シロ</t>
    </rPh>
    <phoneticPr fontId="1"/>
  </si>
  <si>
    <t>アクセント4,白 60%</t>
    <rPh sb="7" eb="8">
      <t>シロ</t>
    </rPh>
    <phoneticPr fontId="1"/>
  </si>
  <si>
    <t>アクセント4,白 40%</t>
    <rPh sb="7" eb="8">
      <t>シロ</t>
    </rPh>
    <phoneticPr fontId="1"/>
  </si>
  <si>
    <t>アクセント4,黒 25%</t>
    <rPh sb="7" eb="8">
      <t>クロ</t>
    </rPh>
    <phoneticPr fontId="1"/>
  </si>
  <si>
    <t>アクセント4,黒 50%</t>
    <rPh sb="7" eb="8">
      <t>クロ</t>
    </rPh>
    <phoneticPr fontId="1"/>
  </si>
  <si>
    <t>msoThemeColorAccent5</t>
  </si>
  <si>
    <t>アクセント5,白 80%</t>
    <rPh sb="7" eb="8">
      <t>シロ</t>
    </rPh>
    <phoneticPr fontId="1"/>
  </si>
  <si>
    <t>アクセント5,白 60%</t>
    <rPh sb="7" eb="8">
      <t>シロ</t>
    </rPh>
    <phoneticPr fontId="1"/>
  </si>
  <si>
    <t>アクセント5,白 40%</t>
    <rPh sb="7" eb="8">
      <t>シロ</t>
    </rPh>
    <phoneticPr fontId="1"/>
  </si>
  <si>
    <t>アクセント5,黒 25%</t>
    <rPh sb="7" eb="8">
      <t>クロ</t>
    </rPh>
    <phoneticPr fontId="1"/>
  </si>
  <si>
    <t>アクセント5,黒 50%</t>
    <rPh sb="7" eb="8">
      <t>クロ</t>
    </rPh>
    <phoneticPr fontId="1"/>
  </si>
  <si>
    <t>msoThemeColorAccent6</t>
  </si>
  <si>
    <t>アクセント6,白 80%</t>
    <rPh sb="7" eb="8">
      <t>シロ</t>
    </rPh>
    <phoneticPr fontId="1"/>
  </si>
  <si>
    <t>アクセント6,白 60%</t>
    <rPh sb="7" eb="8">
      <t>シロ</t>
    </rPh>
    <phoneticPr fontId="1"/>
  </si>
  <si>
    <t>アクセント6,白 40%</t>
    <rPh sb="7" eb="8">
      <t>シロ</t>
    </rPh>
    <phoneticPr fontId="1"/>
  </si>
  <si>
    <t>アクセント6,黒 25%</t>
    <rPh sb="7" eb="8">
      <t>クロ</t>
    </rPh>
    <phoneticPr fontId="1"/>
  </si>
  <si>
    <t>アクセント6,黒 50%</t>
    <rPh sb="7" eb="8">
      <t>クロ</t>
    </rPh>
    <phoneticPr fontId="1"/>
  </si>
  <si>
    <t>経過時間[sec]</t>
  </si>
  <si>
    <t>スループット[bps]</t>
  </si>
  <si>
    <t>E6</t>
  </si>
  <si>
    <t>↓</t>
  </si>
  <si>
    <t>変数</t>
    <rPh sb="0" eb="2">
      <t>ヘンスウ</t>
    </rPh>
    <phoneticPr fontId="1"/>
  </si>
  <si>
    <t>11ah　RSSI</t>
    <phoneticPr fontId="1"/>
  </si>
  <si>
    <t>＋</t>
    <phoneticPr fontId="1"/>
  </si>
  <si>
    <t>右</t>
    <phoneticPr fontId="1"/>
  </si>
  <si>
    <t>-</t>
    <phoneticPr fontId="1"/>
  </si>
  <si>
    <t>位置</t>
    <phoneticPr fontId="1"/>
  </si>
  <si>
    <t>RSSI[dBm]</t>
    <phoneticPr fontId="1"/>
  </si>
  <si>
    <t>F2</t>
    <phoneticPr fontId="1"/>
  </si>
  <si>
    <t>→</t>
    <phoneticPr fontId="1"/>
  </si>
  <si>
    <t>100% 積み上げ横棒</t>
    <phoneticPr fontId="1"/>
  </si>
  <si>
    <t>赤</t>
    <rPh sb="0" eb="1">
      <t>アカ</t>
    </rPh>
    <phoneticPr fontId="1"/>
  </si>
  <si>
    <t>hoge</t>
    <phoneticPr fontId="1"/>
  </si>
  <si>
    <t>＋</t>
    <phoneticPr fontId="1"/>
  </si>
  <si>
    <t>右</t>
    <phoneticPr fontId="1"/>
  </si>
  <si>
    <t>-</t>
    <phoneticPr fontId="1"/>
  </si>
  <si>
    <t>-</t>
    <phoneticPr fontId="1"/>
  </si>
  <si>
    <t>経過時間[sec]</t>
    <phoneticPr fontId="1"/>
  </si>
  <si>
    <t>スループット[bps]</t>
    <phoneticPr fontId="1"/>
  </si>
  <si>
    <t>E6</t>
    <phoneticPr fontId="1"/>
  </si>
  <si>
    <t>↓</t>
    <phoneticPr fontId="1"/>
  </si>
  <si>
    <t>アクセント2</t>
    <phoneticPr fontId="1"/>
  </si>
  <si>
    <t>アクセント2,白 80%</t>
    <phoneticPr fontId="1"/>
  </si>
  <si>
    <t>アクセント4</t>
    <phoneticPr fontId="1"/>
  </si>
  <si>
    <t>アクセント4,白 80%</t>
    <phoneticPr fontId="1"/>
  </si>
  <si>
    <t>薄い緑</t>
    <phoneticPr fontId="1"/>
  </si>
  <si>
    <t>緑</t>
    <phoneticPr fontId="1"/>
  </si>
  <si>
    <t>薄い青</t>
    <phoneticPr fontId="1"/>
  </si>
  <si>
    <t>青</t>
    <phoneticPr fontId="1"/>
  </si>
  <si>
    <t>薄い灰</t>
    <phoneticPr fontId="1"/>
  </si>
  <si>
    <t>CheckBox1</t>
    <phoneticPr fontId="1"/>
  </si>
  <si>
    <t>CheckBox2</t>
    <phoneticPr fontId="1"/>
  </si>
  <si>
    <t>CheckBox3</t>
    <phoneticPr fontId="1"/>
  </si>
  <si>
    <t>CheckBox4</t>
    <phoneticPr fontId="1"/>
  </si>
  <si>
    <t>ComboBox1</t>
    <phoneticPr fontId="1"/>
  </si>
  <si>
    <t>CheckBox5</t>
    <phoneticPr fontId="1"/>
  </si>
  <si>
    <t>ComboBox2</t>
    <phoneticPr fontId="1"/>
  </si>
  <si>
    <t>ComboBox3</t>
    <phoneticPr fontId="1"/>
  </si>
  <si>
    <t>CheckBox8</t>
    <phoneticPr fontId="1"/>
  </si>
  <si>
    <t>ComboBox10</t>
    <phoneticPr fontId="1"/>
  </si>
  <si>
    <t>ComboBox11</t>
    <phoneticPr fontId="1"/>
  </si>
  <si>
    <t>ComboBox12</t>
    <phoneticPr fontId="1"/>
  </si>
  <si>
    <t>ComboBox13</t>
    <phoneticPr fontId="1"/>
  </si>
  <si>
    <t>ComboBox14</t>
    <phoneticPr fontId="1"/>
  </si>
  <si>
    <t>ComboBox15</t>
    <phoneticPr fontId="1"/>
  </si>
  <si>
    <t>ComboBox16</t>
    <phoneticPr fontId="1"/>
  </si>
  <si>
    <t>ComboBox17</t>
    <phoneticPr fontId="1"/>
  </si>
  <si>
    <t>ComboBox21</t>
    <phoneticPr fontId="1"/>
  </si>
  <si>
    <t>ComboBox26</t>
    <phoneticPr fontId="1"/>
  </si>
  <si>
    <t>ComboBox27</t>
    <phoneticPr fontId="1"/>
  </si>
  <si>
    <t>ComboBox25</t>
    <phoneticPr fontId="1"/>
  </si>
  <si>
    <t>ComboBox28</t>
    <phoneticPr fontId="1"/>
  </si>
  <si>
    <t>ComboBox29</t>
    <phoneticPr fontId="1"/>
  </si>
  <si>
    <t>ComboBox30</t>
    <phoneticPr fontId="1"/>
  </si>
  <si>
    <t>ComboBox31</t>
    <phoneticPr fontId="1"/>
  </si>
  <si>
    <t>CheckBox14</t>
    <phoneticPr fontId="1"/>
  </si>
  <si>
    <t>CheckBox16</t>
    <phoneticPr fontId="1"/>
  </si>
  <si>
    <t>CheckBox17</t>
    <phoneticPr fontId="1"/>
  </si>
  <si>
    <t>CheckBox19</t>
    <phoneticPr fontId="1"/>
  </si>
  <si>
    <t>ComboBox32</t>
    <phoneticPr fontId="1"/>
  </si>
  <si>
    <t>ComboBox33</t>
    <phoneticPr fontId="1"/>
  </si>
  <si>
    <t>ComboBox34</t>
    <phoneticPr fontId="1"/>
  </si>
  <si>
    <t>ComboBox35</t>
    <phoneticPr fontId="1"/>
  </si>
  <si>
    <t>ComboBox36</t>
    <phoneticPr fontId="1"/>
  </si>
  <si>
    <t>ComboBox37</t>
    <phoneticPr fontId="1"/>
  </si>
  <si>
    <t>ComboBox38</t>
    <phoneticPr fontId="1"/>
  </si>
  <si>
    <t>ComboBox39</t>
    <phoneticPr fontId="1"/>
  </si>
  <si>
    <t>ComboBox40</t>
    <phoneticPr fontId="1"/>
  </si>
  <si>
    <t>ComboBox41</t>
    <phoneticPr fontId="1"/>
  </si>
  <si>
    <t>CheckBox20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</si>
</sst>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_ "/>
  </numFmts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rgb="FF990000"/>
      <name val="Arial Unicode MS"/>
      <family val="3"/>
      <charset val="128"/>
    </font>
    <font>
      <sz val="10"/>
      <color theme="1"/>
      <name val="Arial Unicode MS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2-4A41-B1AF-FB73375F54D6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B2-4A41-B1AF-FB73375F54D6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B2-4A41-B1AF-FB73375F54D6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B2-4A41-B1AF-FB73375F54D6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B2-4A41-B1AF-FB73375F54D6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B2-4A41-B1AF-FB73375F54D6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B2-4A41-B1AF-FB73375F54D6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B2-4A41-B1AF-FB73375F54D6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B2-4A41-B1AF-FB73375F54D6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B2-4A41-B1AF-FB73375F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091584"/>
        <c:axId val="481092160"/>
      </c:scatterChart>
      <c:valAx>
        <c:axId val="48109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1092160"/>
        <c:crosses val="autoZero"/>
        <c:crossBetween val="midCat"/>
      </c:valAx>
      <c:valAx>
        <c:axId val="48109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1091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7-463B-9043-24A00A77F840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7-463B-9043-24A00A77F840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7-463B-9043-24A00A77F840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7-463B-9043-24A00A77F840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B7-463B-9043-24A00A77F840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B7-463B-9043-24A00A77F840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B7-463B-9043-24A00A77F840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AB7-463B-9043-24A00A77F840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AB7-463B-9043-24A00A77F840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AB7-463B-9043-24A00A77F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094464"/>
        <c:axId val="481095040"/>
      </c:scatterChart>
      <c:valAx>
        <c:axId val="481094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1095040"/>
        <c:crosses val="autoZero"/>
        <c:crossBetween val="midCat"/>
      </c:valAx>
      <c:valAx>
        <c:axId val="481095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1094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70-40DC-9D22-9A6A2CFAC313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70-40DC-9D22-9A6A2CFAC313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70-40DC-9D22-9A6A2CFAC313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70-40DC-9D22-9A6A2CFAC313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70-40DC-9D22-9A6A2CFAC313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70-40DC-9D22-9A6A2CFAC313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70-40DC-9D22-9A6A2CFAC313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570-40DC-9D22-9A6A2CFAC313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570-40DC-9D22-9A6A2CFAC313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570-40DC-9D22-9A6A2CFA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097344"/>
        <c:axId val="481097920"/>
      </c:scatterChart>
      <c:valAx>
        <c:axId val="48109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1097920"/>
        <c:crosses val="autoZero"/>
        <c:crossBetween val="midCat"/>
      </c:valAx>
      <c:valAx>
        <c:axId val="481097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1097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F-4B40-B7FA-B804594FB0AF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F-4B40-B7FA-B804594FB0AF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1F-4B40-B7FA-B804594FB0AF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61F-4B40-B7FA-B804594FB0AF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61F-4B40-B7FA-B804594FB0AF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61F-4B40-B7FA-B804594FB0AF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61F-4B40-B7FA-B804594FB0AF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61F-4B40-B7FA-B804594FB0AF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61F-4B40-B7FA-B804594FB0AF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61F-4B40-B7FA-B804594FB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08448"/>
        <c:axId val="489809024"/>
      </c:scatterChart>
      <c:valAx>
        <c:axId val="48980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809024"/>
        <c:crosses val="autoZero"/>
        <c:crossBetween val="midCat"/>
      </c:valAx>
      <c:valAx>
        <c:axId val="489809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808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F0-42ED-9D42-6A307A4AA607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F0-42ED-9D42-6A307A4AA607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F0-42ED-9D42-6A307A4AA607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F0-42ED-9D42-6A307A4AA607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F0-42ED-9D42-6A307A4AA607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F0-42ED-9D42-6A307A4AA607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F0-42ED-9D42-6A307A4AA607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F0-42ED-9D42-6A307A4AA607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1F0-42ED-9D42-6A307A4AA607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xVal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xVal>
          <c:y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1F0-42ED-9D42-6A307A4AA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811328"/>
        <c:axId val="489811904"/>
      </c:scatterChart>
      <c:valAx>
        <c:axId val="48981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811904"/>
        <c:crosses val="autoZero"/>
        <c:crossBetween val="midCat"/>
      </c:valAx>
      <c:valAx>
        <c:axId val="489811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811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57-49C0-80AD-D6A57EC226D1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57-49C0-80AD-D6A57EC226D1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57-49C0-80AD-D6A57EC226D1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57-49C0-80AD-D6A57EC226D1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B57-49C0-80AD-D6A57EC226D1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57-49C0-80AD-D6A57EC226D1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B57-49C0-80AD-D6A57EC226D1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B57-49C0-80AD-D6A57EC226D1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B57-49C0-80AD-D6A57EC226D1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B57-49C0-80AD-D6A57EC22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297344"/>
        <c:axId val="489814208"/>
      </c:lineChart>
      <c:catAx>
        <c:axId val="49029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9814208"/>
        <c:crosses val="autoZero"/>
        <c:auto val="1"/>
        <c:lblAlgn val="ctr"/>
        <c:lblOffset val="100"/>
        <c:noMultiLvlLbl val="0"/>
      </c:catAx>
      <c:valAx>
        <c:axId val="48981420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029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D26-8060-C95863EBB7E9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FB-4D26-8060-C95863EBB7E9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FB-4D26-8060-C95863EBB7E9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FB-4D26-8060-C95863EBB7E9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FB-4D26-8060-C95863EBB7E9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FB-4D26-8060-C95863EBB7E9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FB-4D26-8060-C95863EBB7E9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FB-4D26-8060-C95863EBB7E9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9FB-4D26-8060-C95863EBB7E9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9FB-4D26-8060-C95863EBB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20832"/>
        <c:axId val="492864064"/>
      </c:lineChart>
      <c:catAx>
        <c:axId val="492920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864064"/>
        <c:crosses val="autoZero"/>
        <c:auto val="1"/>
        <c:lblAlgn val="ctr"/>
        <c:lblOffset val="100"/>
        <c:noMultiLvlLbl val="0"/>
      </c:catAx>
      <c:valAx>
        <c:axId val="492864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92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32-4F0C-8DA9-DB11222B77D8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32-4F0C-8DA9-DB11222B77D8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32-4F0C-8DA9-DB11222B77D8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32-4F0C-8DA9-DB11222B77D8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32-4F0C-8DA9-DB11222B77D8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32-4F0C-8DA9-DB11222B77D8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32-4F0C-8DA9-DB11222B77D8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32-4F0C-8DA9-DB11222B77D8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32-4F0C-8DA9-DB11222B77D8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32-4F0C-8DA9-DB11222B7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922880"/>
        <c:axId val="492866368"/>
      </c:lineChart>
      <c:catAx>
        <c:axId val="492922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866368"/>
        <c:crosses val="autoZero"/>
        <c:auto val="1"/>
        <c:lblAlgn val="ctr"/>
        <c:lblOffset val="100"/>
        <c:noMultiLvlLbl val="0"/>
      </c:catAx>
      <c:valAx>
        <c:axId val="492866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92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43-4CB4-A47D-50F026FB82F0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43-4CB4-A47D-50F026FB82F0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43-4CB4-A47D-50F026FB82F0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43-4CB4-A47D-50F026FB82F0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43-4CB4-A47D-50F026FB82F0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43-4CB4-A47D-50F026FB82F0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43-4CB4-A47D-50F026FB82F0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343-4CB4-A47D-50F026FB82F0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343-4CB4-A47D-50F026FB82F0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343-4CB4-A47D-50F026FB8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47840"/>
        <c:axId val="492868672"/>
      </c:lineChart>
      <c:catAx>
        <c:axId val="523747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868672"/>
        <c:crosses val="autoZero"/>
        <c:auto val="1"/>
        <c:lblAlgn val="ctr"/>
        <c:lblOffset val="100"/>
        <c:noMultiLvlLbl val="0"/>
      </c:catAx>
      <c:valAx>
        <c:axId val="492868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74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48-4375-BA99-E8A891514DA9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48-4375-BA99-E8A891514DA9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48-4375-BA99-E8A891514DA9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48-4375-BA99-E8A891514DA9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48-4375-BA99-E8A891514DA9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48-4375-BA99-E8A891514DA9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48-4375-BA99-E8A891514DA9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48-4375-BA99-E8A891514DA9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48-4375-BA99-E8A891514DA9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plus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348-4375-BA99-E8A891514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749888"/>
        <c:axId val="492870976"/>
      </c:lineChart>
      <c:catAx>
        <c:axId val="52374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経過時間</a:t>
                </a:r>
                <a:r>
                  <a:rPr lang="en-US" altLang="ja-JP"/>
                  <a:t>[</a:t>
                </a:r>
                <a:r>
                  <a:rPr lang="en-US" altLang="en-US"/>
                  <a:t>sec]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2870976"/>
        <c:crosses val="autoZero"/>
        <c:auto val="1"/>
        <c:lblAlgn val="ctr"/>
        <c:lblOffset val="100"/>
        <c:noMultiLvlLbl val="0"/>
      </c:catAx>
      <c:valAx>
        <c:axId val="4928709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</a:t>
                </a:r>
                <a:r>
                  <a:rPr lang="en-US" altLang="en-US"/>
                  <a:t>bps]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74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お試し!$A$1</c:f>
          <c:strCache>
            <c:ptCount val="1"/>
            <c:pt idx="0">
              <c:v>お試し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9-419D-8551-9787FB3764A0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39-419D-8551-9787FB376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96512"/>
        <c:axId val="523897088"/>
      </c:scatterChart>
      <c:valAx>
        <c:axId val="52389651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897088"/>
        <c:crosses val="autoZero"/>
        <c:crossBetween val="midCat"/>
      </c:valAx>
      <c:valAx>
        <c:axId val="523897088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89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お試し!$A$2</c:f>
          <c:strCache>
            <c:ptCount val="1"/>
            <c:pt idx="0">
              <c:v>abc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ED7D31">
                <a:lumMod val="10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40-4356-9BAF-18E8F9176963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40-4356-9BAF-18E8F917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605504"/>
        <c:axId val="523899392"/>
      </c:barChart>
      <c:catAx>
        <c:axId val="52360550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899392"/>
        <c:crosses val="autoZero"/>
        <c:auto val="1"/>
        <c:lblAlgn val="ctr"/>
        <c:lblOffset val="100"/>
        <c:noMultiLvlLbl val="0"/>
      </c:catAx>
      <c:valAx>
        <c:axId val="523899392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60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お試し!$A$3</c:f>
          <c:strCache>
            <c:ptCount val="1"/>
            <c:pt idx="0">
              <c:v>def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bubbleSize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7A1-4A28-BEDC-542EF4D5B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23901696"/>
        <c:axId val="523902272"/>
      </c:bubbleChart>
      <c:valAx>
        <c:axId val="523901696"/>
        <c:scaling>
          <c:orientation val="minMax"/>
          <c:max val="1000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02272"/>
        <c:crosses val="autoZero"/>
        <c:crossBetween val="midCat"/>
      </c:valAx>
      <c:valAx>
        <c:axId val="523902272"/>
        <c:scaling>
          <c:orientation val="minMax"/>
          <c:max val="5000"/>
          <c:min val="0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01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お試し!$A$1</c:f>
          <c:strCache>
            <c:ptCount val="1"/>
            <c:pt idx="0">
              <c:v>お試し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9-419D-8551-9787FB3764A0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39-419D-8551-9787FB376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953280"/>
        <c:axId val="523953856"/>
      </c:scatterChart>
      <c:valAx>
        <c:axId val="52395328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53856"/>
        <c:crosses val="autoZero"/>
        <c:crossBetween val="midCat"/>
      </c:valAx>
      <c:valAx>
        <c:axId val="523953856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53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お試し!$A$2</c:f>
          <c:strCache>
            <c:ptCount val="1"/>
            <c:pt idx="0">
              <c:v>abc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ED7D31">
                <a:lumMod val="10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40-4356-9BAF-18E8F9176963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40-4356-9BAF-18E8F917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607552"/>
        <c:axId val="523956160"/>
      </c:barChart>
      <c:catAx>
        <c:axId val="52360755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56160"/>
        <c:crosses val="autoZero"/>
        <c:auto val="1"/>
        <c:lblAlgn val="ctr"/>
        <c:lblOffset val="100"/>
        <c:noMultiLvlLbl val="0"/>
      </c:catAx>
      <c:valAx>
        <c:axId val="523956160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60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お試し!$A$3</c:f>
          <c:strCache>
            <c:ptCount val="1"/>
            <c:pt idx="0">
              <c:v>def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bubbleSize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7A1-4A28-BEDC-542EF4D5B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23958464"/>
        <c:axId val="523959040"/>
      </c:bubbleChart>
      <c:valAx>
        <c:axId val="523958464"/>
        <c:scaling>
          <c:orientation val="minMax"/>
          <c:max val="1000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59040"/>
        <c:crosses val="autoZero"/>
        <c:crossBetween val="midCat"/>
      </c:valAx>
      <c:valAx>
        <c:axId val="523959040"/>
        <c:scaling>
          <c:orientation val="minMax"/>
          <c:max val="5000"/>
          <c:min val="0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95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お試し!$A$1</c:f>
          <c:strCache>
            <c:ptCount val="1"/>
            <c:pt idx="0">
              <c:v>お試し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39-419D-8551-9787FB3764A0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39-419D-8551-9787FB376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4010624"/>
        <c:axId val="524011200"/>
      </c:scatterChart>
      <c:valAx>
        <c:axId val="52401062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11200"/>
        <c:crosses val="autoZero"/>
        <c:crossBetween val="midCat"/>
      </c:valAx>
      <c:valAx>
        <c:axId val="524011200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10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お試し!$A$2</c:f>
          <c:strCache>
            <c:ptCount val="1"/>
            <c:pt idx="0">
              <c:v>abc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rgbClr val="ED7D31">
                <a:lumMod val="10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40-4356-9BAF-18E8F9176963}"/>
            </c:ext>
          </c:extLst>
        </c:ser>
        <c:ser>
          <c:idx val="1"/>
          <c:order val="1"/>
          <c:tx>
            <c:strRef>
              <c:f>Sheet!$AC$11</c:f>
              <c:strCache>
                <c:ptCount val="1"/>
                <c:pt idx="0">
                  <c:v>x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cat>
          <c:val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40-4356-9BAF-18E8F917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4060160"/>
        <c:axId val="524013504"/>
      </c:barChart>
      <c:catAx>
        <c:axId val="524060160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13504"/>
        <c:crosses val="autoZero"/>
        <c:auto val="1"/>
        <c:lblAlgn val="ctr"/>
        <c:lblOffset val="100"/>
        <c:noMultiLvlLbl val="0"/>
      </c:catAx>
      <c:valAx>
        <c:axId val="524013504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6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お試し!$A$3</c:f>
          <c:strCache>
            <c:ptCount val="1"/>
            <c:pt idx="0">
              <c:v>def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Sheet!$AB$11</c:f>
              <c:strCache>
                <c:ptCount val="1"/>
                <c:pt idx="0">
                  <c:v>w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Sheet!$AA$12:$AA$14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Sheet!$AB$12:$AB$14</c:f>
              <c:numCache>
                <c:formatCode>General</c:formatCode>
                <c:ptCount val="3"/>
                <c:pt idx="0">
                  <c:v>444</c:v>
                </c:pt>
                <c:pt idx="1">
                  <c:v>400</c:v>
                </c:pt>
                <c:pt idx="2">
                  <c:v>555</c:v>
                </c:pt>
              </c:numCache>
            </c:numRef>
          </c:yVal>
          <c:bubbleSize>
            <c:numRef>
              <c:f>Sheet!$AC$12:$AC$14</c:f>
              <c:numCache>
                <c:formatCode>General</c:formatCode>
                <c:ptCount val="3"/>
                <c:pt idx="0">
                  <c:v>222</c:v>
                </c:pt>
                <c:pt idx="1">
                  <c:v>333</c:v>
                </c:pt>
                <c:pt idx="2">
                  <c:v>444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7A1-4A28-BEDC-542EF4D5B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24015232"/>
        <c:axId val="524015808"/>
      </c:bubbleChart>
      <c:valAx>
        <c:axId val="524015232"/>
        <c:scaling>
          <c:orientation val="minMax"/>
          <c:max val="1000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15808"/>
        <c:crosses val="autoZero"/>
        <c:crossBetween val="midCat"/>
      </c:valAx>
      <c:valAx>
        <c:axId val="524015808"/>
        <c:scaling>
          <c:orientation val="minMax"/>
          <c:max val="5000"/>
          <c:min val="0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401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>
      <a:solidFill>
        <a:srgbClr val="0F0000"/>
      </a:solidFill>
      <a:prstDash val="solid"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お試し!$H$12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ED7D31">
                <a:lumMod val="10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お試し!$I$12:$S$12</c:f>
              <c:numCache>
                <c:formatCode>General</c:formatCode>
                <c:ptCount val="11"/>
                <c:pt idx="0">
                  <c:v>10</c:v>
                </c:pt>
                <c:pt idx="1">
                  <c:v>17</c:v>
                </c:pt>
                <c:pt idx="2">
                  <c:v>86</c:v>
                </c:pt>
                <c:pt idx="3">
                  <c:v>97</c:v>
                </c:pt>
                <c:pt idx="4">
                  <c:v>69</c:v>
                </c:pt>
                <c:pt idx="5">
                  <c:v>63</c:v>
                </c:pt>
                <c:pt idx="6">
                  <c:v>27</c:v>
                </c:pt>
                <c:pt idx="7">
                  <c:v>54</c:v>
                </c:pt>
                <c:pt idx="8">
                  <c:v>56</c:v>
                </c:pt>
                <c:pt idx="9">
                  <c:v>21</c:v>
                </c:pt>
                <c:pt idx="1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C-49FA-A1C2-B7FFC3CE77A4}"/>
            </c:ext>
          </c:extLst>
        </c:ser>
        <c:ser>
          <c:idx val="1"/>
          <c:order val="1"/>
          <c:tx>
            <c:strRef>
              <c:f>お試し!$H$13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57F-453D-9854-11F988FA750A}"/>
              </c:ext>
            </c:extLst>
          </c:dPt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お試し!$I$13:$S$13</c:f>
              <c:numCache>
                <c:formatCode>General</c:formatCode>
                <c:ptCount val="11"/>
                <c:pt idx="0">
                  <c:v>10</c:v>
                </c:pt>
                <c:pt idx="1">
                  <c:v>30</c:v>
                </c:pt>
                <c:pt idx="2">
                  <c:v>2</c:v>
                </c:pt>
                <c:pt idx="3">
                  <c:v>32</c:v>
                </c:pt>
                <c:pt idx="4">
                  <c:v>99</c:v>
                </c:pt>
                <c:pt idx="5">
                  <c:v>46</c:v>
                </c:pt>
                <c:pt idx="6">
                  <c:v>78</c:v>
                </c:pt>
                <c:pt idx="7">
                  <c:v>22</c:v>
                </c:pt>
                <c:pt idx="8">
                  <c:v>14</c:v>
                </c:pt>
                <c:pt idx="9">
                  <c:v>81</c:v>
                </c:pt>
                <c:pt idx="1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C-49FA-A1C2-B7FFC3CE77A4}"/>
            </c:ext>
          </c:extLst>
        </c:ser>
        <c:ser>
          <c:idx val="2"/>
          <c:order val="2"/>
          <c:tx>
            <c:strRef>
              <c:f>お試し!$H$14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rgbClr val="FFC0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お試し!$I$14:$S$14</c:f>
              <c:numCache>
                <c:formatCode>General</c:formatCode>
                <c:ptCount val="11"/>
                <c:pt idx="0">
                  <c:v>10</c:v>
                </c:pt>
                <c:pt idx="1">
                  <c:v>20</c:v>
                </c:pt>
                <c:pt idx="2">
                  <c:v>62</c:v>
                </c:pt>
                <c:pt idx="3">
                  <c:v>89</c:v>
                </c:pt>
                <c:pt idx="4">
                  <c:v>70</c:v>
                </c:pt>
                <c:pt idx="5">
                  <c:v>69</c:v>
                </c:pt>
                <c:pt idx="6">
                  <c:v>56</c:v>
                </c:pt>
                <c:pt idx="7">
                  <c:v>66</c:v>
                </c:pt>
                <c:pt idx="8">
                  <c:v>82</c:v>
                </c:pt>
                <c:pt idx="9">
                  <c:v>4</c:v>
                </c:pt>
                <c:pt idx="1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C-49FA-A1C2-B7FFC3CE77A4}"/>
            </c:ext>
          </c:extLst>
        </c:ser>
        <c:ser>
          <c:idx val="3"/>
          <c:order val="3"/>
          <c:tx>
            <c:strRef>
              <c:f>お試し!$H$15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rgbClr val="FFC0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お試し!$I$15:$S$15</c:f>
              <c:numCache>
                <c:formatCode>General</c:formatCode>
                <c:ptCount val="11"/>
                <c:pt idx="0">
                  <c:v>10</c:v>
                </c:pt>
                <c:pt idx="1">
                  <c:v>60</c:v>
                </c:pt>
                <c:pt idx="2">
                  <c:v>70</c:v>
                </c:pt>
                <c:pt idx="3">
                  <c:v>55</c:v>
                </c:pt>
                <c:pt idx="4">
                  <c:v>14</c:v>
                </c:pt>
                <c:pt idx="5">
                  <c:v>48</c:v>
                </c:pt>
                <c:pt idx="6">
                  <c:v>22</c:v>
                </c:pt>
                <c:pt idx="7">
                  <c:v>51</c:v>
                </c:pt>
                <c:pt idx="8">
                  <c:v>3</c:v>
                </c:pt>
                <c:pt idx="9">
                  <c:v>24</c:v>
                </c:pt>
                <c:pt idx="1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C-49FA-A1C2-B7FFC3CE77A4}"/>
            </c:ext>
          </c:extLst>
        </c:ser>
        <c:ser>
          <c:idx val="4"/>
          <c:order val="4"/>
          <c:tx>
            <c:strRef>
              <c:f>お試し!$H$16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お試し!$I$16:$S$16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54</c:v>
                </c:pt>
                <c:pt idx="3">
                  <c:v>44</c:v>
                </c:pt>
                <c:pt idx="4">
                  <c:v>14</c:v>
                </c:pt>
                <c:pt idx="5">
                  <c:v>70</c:v>
                </c:pt>
                <c:pt idx="6">
                  <c:v>54</c:v>
                </c:pt>
                <c:pt idx="7">
                  <c:v>14</c:v>
                </c:pt>
                <c:pt idx="8">
                  <c:v>19</c:v>
                </c:pt>
                <c:pt idx="9">
                  <c:v>69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C-49FA-A1C2-B7FFC3CE77A4}"/>
            </c:ext>
          </c:extLst>
        </c:ser>
        <c:ser>
          <c:idx val="5"/>
          <c:order val="5"/>
          <c:tx>
            <c:strRef>
              <c:f>お試し!$H$17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お試し!$I$17:$S$17</c:f>
              <c:numCache>
                <c:formatCode>General</c:formatCode>
                <c:ptCount val="11"/>
                <c:pt idx="0">
                  <c:v>10</c:v>
                </c:pt>
                <c:pt idx="1">
                  <c:v>3</c:v>
                </c:pt>
                <c:pt idx="2">
                  <c:v>83</c:v>
                </c:pt>
                <c:pt idx="3">
                  <c:v>5</c:v>
                </c:pt>
                <c:pt idx="4">
                  <c:v>85</c:v>
                </c:pt>
                <c:pt idx="5">
                  <c:v>67</c:v>
                </c:pt>
                <c:pt idx="6">
                  <c:v>97</c:v>
                </c:pt>
                <c:pt idx="7">
                  <c:v>79</c:v>
                </c:pt>
                <c:pt idx="8">
                  <c:v>59</c:v>
                </c:pt>
                <c:pt idx="9">
                  <c:v>28</c:v>
                </c:pt>
                <c:pt idx="1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1C-49FA-A1C2-B7FFC3CE77A4}"/>
            </c:ext>
          </c:extLst>
        </c:ser>
        <c:ser>
          <c:idx val="6"/>
          <c:order val="6"/>
          <c:tx>
            <c:strRef>
              <c:f>お試し!$H$18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お試し!$I$18:$S$18</c:f>
              <c:numCache>
                <c:formatCode>General</c:formatCode>
                <c:ptCount val="11"/>
                <c:pt idx="0">
                  <c:v>10</c:v>
                </c:pt>
                <c:pt idx="1">
                  <c:v>57</c:v>
                </c:pt>
                <c:pt idx="2">
                  <c:v>53</c:v>
                </c:pt>
                <c:pt idx="3">
                  <c:v>59</c:v>
                </c:pt>
                <c:pt idx="4">
                  <c:v>64</c:v>
                </c:pt>
                <c:pt idx="5">
                  <c:v>61</c:v>
                </c:pt>
                <c:pt idx="6">
                  <c:v>81</c:v>
                </c:pt>
                <c:pt idx="7">
                  <c:v>85</c:v>
                </c:pt>
                <c:pt idx="8">
                  <c:v>43</c:v>
                </c:pt>
                <c:pt idx="9">
                  <c:v>67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1C-49FA-A1C2-B7FFC3CE77A4}"/>
            </c:ext>
          </c:extLst>
        </c:ser>
        <c:ser>
          <c:idx val="7"/>
          <c:order val="7"/>
          <c:tx>
            <c:strRef>
              <c:f>お試し!$H$19</c:f>
              <c:strCache>
                <c:ptCount val="1"/>
                <c:pt idx="0">
                  <c:v>8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お試し!$I$19:$S$19</c:f>
              <c:numCache>
                <c:formatCode>General</c:formatCode>
                <c:ptCount val="11"/>
                <c:pt idx="0">
                  <c:v>10</c:v>
                </c:pt>
                <c:pt idx="1">
                  <c:v>72</c:v>
                </c:pt>
                <c:pt idx="2">
                  <c:v>56</c:v>
                </c:pt>
                <c:pt idx="3">
                  <c:v>14</c:v>
                </c:pt>
                <c:pt idx="4">
                  <c:v>28</c:v>
                </c:pt>
                <c:pt idx="5">
                  <c:v>88</c:v>
                </c:pt>
                <c:pt idx="6">
                  <c:v>6</c:v>
                </c:pt>
                <c:pt idx="7">
                  <c:v>21</c:v>
                </c:pt>
                <c:pt idx="8">
                  <c:v>35</c:v>
                </c:pt>
                <c:pt idx="9">
                  <c:v>8</c:v>
                </c:pt>
                <c:pt idx="10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1C-49FA-A1C2-B7FFC3CE77A4}"/>
            </c:ext>
          </c:extLst>
        </c:ser>
        <c:ser>
          <c:idx val="8"/>
          <c:order val="8"/>
          <c:tx>
            <c:strRef>
              <c:f>お試し!$H$20</c:f>
              <c:strCache>
                <c:ptCount val="1"/>
                <c:pt idx="0">
                  <c:v>9</c:v>
                </c:pt>
              </c:strCache>
            </c:strRef>
          </c:tx>
          <c:spPr>
            <a:solidFill>
              <a:srgbClr val="C0C0C0"/>
            </a:solidFill>
            <a:ln>
              <a:solidFill>
                <a:srgbClr val="C0C0C0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お試し!$I$20:$S$20</c:f>
              <c:numCache>
                <c:formatCode>General</c:formatCode>
                <c:ptCount val="11"/>
                <c:pt idx="0">
                  <c:v>10</c:v>
                </c:pt>
                <c:pt idx="1">
                  <c:v>21</c:v>
                </c:pt>
                <c:pt idx="2">
                  <c:v>28</c:v>
                </c:pt>
                <c:pt idx="3">
                  <c:v>95</c:v>
                </c:pt>
                <c:pt idx="4">
                  <c:v>0</c:v>
                </c:pt>
                <c:pt idx="5">
                  <c:v>23</c:v>
                </c:pt>
                <c:pt idx="6">
                  <c:v>93</c:v>
                </c:pt>
                <c:pt idx="7">
                  <c:v>20</c:v>
                </c:pt>
                <c:pt idx="8">
                  <c:v>47</c:v>
                </c:pt>
                <c:pt idx="9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1C-49FA-A1C2-B7FFC3CE77A4}"/>
            </c:ext>
          </c:extLst>
        </c:ser>
        <c:ser>
          <c:idx val="9"/>
          <c:order val="9"/>
          <c:tx>
            <c:strRef>
              <c:f>お試し!$H$21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rgbClr val="ED7D31">
                <a:lumMod val="20000"/>
                <a:lumOff val="80000"/>
              </a:srgbClr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strRef>
              <c:f>お試し!$I$11:$S$11</c:f>
              <c:strCache>
                <c:ptCount val="11"/>
                <c:pt idx="0">
                  <c:v>茶</c:v>
                </c:pt>
                <c:pt idx="1">
                  <c:v>赤</c:v>
                </c:pt>
                <c:pt idx="2">
                  <c:v>橙</c:v>
                </c:pt>
                <c:pt idx="3">
                  <c:v>黄</c:v>
                </c:pt>
                <c:pt idx="4">
                  <c:v>緑</c:v>
                </c:pt>
                <c:pt idx="5">
                  <c:v>青</c:v>
                </c:pt>
                <c:pt idx="6">
                  <c:v>藍</c:v>
                </c:pt>
                <c:pt idx="7">
                  <c:v>紫</c:v>
                </c:pt>
                <c:pt idx="8">
                  <c:v>灰</c:v>
                </c:pt>
                <c:pt idx="9">
                  <c:v>白</c:v>
                </c:pt>
                <c:pt idx="10">
                  <c:v>黒</c:v>
                </c:pt>
              </c:strCache>
            </c:strRef>
          </c:cat>
          <c:val>
            <c:numRef>
              <c:f>お試し!$I$21:$S$21</c:f>
              <c:numCache>
                <c:formatCode>General</c:formatCode>
                <c:ptCount val="11"/>
                <c:pt idx="0">
                  <c:v>10</c:v>
                </c:pt>
                <c:pt idx="1">
                  <c:v>16</c:v>
                </c:pt>
                <c:pt idx="2">
                  <c:v>62</c:v>
                </c:pt>
                <c:pt idx="3">
                  <c:v>60</c:v>
                </c:pt>
                <c:pt idx="4">
                  <c:v>55</c:v>
                </c:pt>
                <c:pt idx="5">
                  <c:v>67</c:v>
                </c:pt>
                <c:pt idx="6">
                  <c:v>94</c:v>
                </c:pt>
                <c:pt idx="7">
                  <c:v>16</c:v>
                </c:pt>
                <c:pt idx="8">
                  <c:v>10</c:v>
                </c:pt>
                <c:pt idx="9">
                  <c:v>29</c:v>
                </c:pt>
                <c:pt idx="1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1C-49FA-A1C2-B7FFC3CE7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3750912"/>
        <c:axId val="525778944"/>
      </c:barChart>
      <c:catAx>
        <c:axId val="52375091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5778944"/>
        <c:crosses val="autoZero"/>
        <c:auto val="1"/>
        <c:lblAlgn val="ctr"/>
        <c:lblOffset val="100"/>
        <c:noMultiLvlLbl val="0"/>
      </c:catAx>
      <c:valAx>
        <c:axId val="5257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375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rgbClr val="0F0000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203200</xdr:colOff>
      <xdr:row>0</xdr:row>
      <xdr:rowOff>127000</xdr:rowOff>
    </xdr:from>
    <xdr:to>
      <xdr:col>2</xdr:col>
      <xdr:colOff>152400</xdr:colOff>
      <xdr:row>0</xdr:row>
      <xdr:rowOff>127000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116B4C84-2861-48C1-A04B-70C275A60790}"/>
            </a:ext>
          </a:extLst>
        </xdr:cNvPr>
        <xdr:cNvCxnSpPr/>
      </xdr:nvCxnSpPr>
      <xdr:spPr>
        <a:xfrm>
          <a:off x="889000" y="127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</xdr:row>
      <xdr:rowOff>127000</xdr:rowOff>
    </xdr:from>
    <xdr:to>
      <xdr:col>2</xdr:col>
      <xdr:colOff>152400</xdr:colOff>
      <xdr:row>1</xdr:row>
      <xdr:rowOff>127000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BDF457F7-C50F-41E5-8D0D-11A8EC537CA3}"/>
            </a:ext>
          </a:extLst>
        </xdr:cNvPr>
        <xdr:cNvCxnSpPr/>
      </xdr:nvCxnSpPr>
      <xdr:spPr>
        <a:xfrm>
          <a:off x="889000" y="298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</xdr:row>
      <xdr:rowOff>127000</xdr:rowOff>
    </xdr:from>
    <xdr:to>
      <xdr:col>2</xdr:col>
      <xdr:colOff>152400</xdr:colOff>
      <xdr:row>2</xdr:row>
      <xdr:rowOff>127000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AEAA0661-C3F2-4358-931C-A1C4E5608178}"/>
            </a:ext>
          </a:extLst>
        </xdr:cNvPr>
        <xdr:cNvCxnSpPr/>
      </xdr:nvCxnSpPr>
      <xdr:spPr>
        <a:xfrm>
          <a:off x="889000" y="469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00" mc:Ignorable="a14" a14:legacySpreadsheetColorIndex="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</xdr:row>
      <xdr:rowOff>127000</xdr:rowOff>
    </xdr:from>
    <xdr:to>
      <xdr:col>2</xdr:col>
      <xdr:colOff>152400</xdr:colOff>
      <xdr:row>3</xdr:row>
      <xdr:rowOff>127000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191420E4-ABF3-49E1-A3BA-D01D6DD3081E}"/>
            </a:ext>
          </a:extLst>
        </xdr:cNvPr>
        <xdr:cNvCxnSpPr/>
      </xdr:nvCxnSpPr>
      <xdr:spPr>
        <a:xfrm>
          <a:off x="889000" y="641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</xdr:row>
      <xdr:rowOff>127000</xdr:rowOff>
    </xdr:from>
    <xdr:to>
      <xdr:col>2</xdr:col>
      <xdr:colOff>152400</xdr:colOff>
      <xdr:row>4</xdr:row>
      <xdr:rowOff>127000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D33D4A8E-E67E-4828-82A8-27D678C32E06}"/>
            </a:ext>
          </a:extLst>
        </xdr:cNvPr>
        <xdr:cNvCxnSpPr/>
      </xdr:nvCxnSpPr>
      <xdr:spPr>
        <a:xfrm>
          <a:off x="889000" y="812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</xdr:row>
      <xdr:rowOff>127000</xdr:rowOff>
    </xdr:from>
    <xdr:to>
      <xdr:col>2</xdr:col>
      <xdr:colOff>152400</xdr:colOff>
      <xdr:row>5</xdr:row>
      <xdr:rowOff>127000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33F3973D-569F-495E-97E4-F4CFA3DE85DC}"/>
            </a:ext>
          </a:extLst>
        </xdr:cNvPr>
        <xdr:cNvCxnSpPr/>
      </xdr:nvCxnSpPr>
      <xdr:spPr>
        <a:xfrm>
          <a:off x="889000" y="984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</xdr:row>
      <xdr:rowOff>127000</xdr:rowOff>
    </xdr:from>
    <xdr:to>
      <xdr:col>2</xdr:col>
      <xdr:colOff>152400</xdr:colOff>
      <xdr:row>6</xdr:row>
      <xdr:rowOff>127000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383C6294-C48F-4508-8BD8-DD08F9C4AA02}"/>
            </a:ext>
          </a:extLst>
        </xdr:cNvPr>
        <xdr:cNvCxnSpPr/>
      </xdr:nvCxnSpPr>
      <xdr:spPr>
        <a:xfrm>
          <a:off x="889000" y="1155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</xdr:row>
      <xdr:rowOff>127000</xdr:rowOff>
    </xdr:from>
    <xdr:to>
      <xdr:col>2</xdr:col>
      <xdr:colOff>152400</xdr:colOff>
      <xdr:row>7</xdr:row>
      <xdr:rowOff>127000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FDC2669E-6BAB-48A2-ACDE-5227DC9999FB}"/>
            </a:ext>
          </a:extLst>
        </xdr:cNvPr>
        <xdr:cNvCxnSpPr/>
      </xdr:nvCxnSpPr>
      <xdr:spPr>
        <a:xfrm>
          <a:off x="889000" y="1327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8</xdr:row>
      <xdr:rowOff>127000</xdr:rowOff>
    </xdr:from>
    <xdr:to>
      <xdr:col>2</xdr:col>
      <xdr:colOff>152400</xdr:colOff>
      <xdr:row>8</xdr:row>
      <xdr:rowOff>127000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85B6D6D-FDAB-44B7-B13B-0818D50164FC}"/>
            </a:ext>
          </a:extLst>
        </xdr:cNvPr>
        <xdr:cNvCxnSpPr/>
      </xdr:nvCxnSpPr>
      <xdr:spPr>
        <a:xfrm>
          <a:off x="889000" y="1498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9</xdr:row>
      <xdr:rowOff>127000</xdr:rowOff>
    </xdr:from>
    <xdr:to>
      <xdr:col>2</xdr:col>
      <xdr:colOff>152400</xdr:colOff>
      <xdr:row>9</xdr:row>
      <xdr:rowOff>127000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D9E9D58A-5313-409C-A03F-7CEFA56E3B51}"/>
            </a:ext>
          </a:extLst>
        </xdr:cNvPr>
        <xdr:cNvCxnSpPr/>
      </xdr:nvCxnSpPr>
      <xdr:spPr>
        <a:xfrm>
          <a:off x="889000" y="1670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10</xdr:row>
      <xdr:rowOff>127000</xdr:rowOff>
    </xdr:from>
    <xdr:to>
      <xdr:col>2</xdr:col>
      <xdr:colOff>152400</xdr:colOff>
      <xdr:row>10</xdr:row>
      <xdr:rowOff>127000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105D3890-F935-477C-B6AD-4BFB75589A25}"/>
            </a:ext>
          </a:extLst>
        </xdr:cNvPr>
        <xdr:cNvCxnSpPr/>
      </xdr:nvCxnSpPr>
      <xdr:spPr>
        <a:xfrm>
          <a:off x="889000" y="1841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11</xdr:row>
      <xdr:rowOff>127000</xdr:rowOff>
    </xdr:from>
    <xdr:to>
      <xdr:col>2</xdr:col>
      <xdr:colOff>152400</xdr:colOff>
      <xdr:row>11</xdr:row>
      <xdr:rowOff>127000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B64FE7DE-ED0A-4183-A25D-1307BA92F64A}"/>
            </a:ext>
          </a:extLst>
        </xdr:cNvPr>
        <xdr:cNvCxnSpPr/>
      </xdr:nvCxnSpPr>
      <xdr:spPr>
        <a:xfrm>
          <a:off x="889000" y="2012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12</xdr:row>
      <xdr:rowOff>127000</xdr:rowOff>
    </xdr:from>
    <xdr:to>
      <xdr:col>2</xdr:col>
      <xdr:colOff>152400</xdr:colOff>
      <xdr:row>12</xdr:row>
      <xdr:rowOff>127000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8FCD8474-6C9A-49DE-AD98-70183B024F3F}"/>
            </a:ext>
          </a:extLst>
        </xdr:cNvPr>
        <xdr:cNvCxnSpPr/>
      </xdr:nvCxnSpPr>
      <xdr:spPr>
        <a:xfrm>
          <a:off x="889000" y="2184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13</xdr:row>
      <xdr:rowOff>127000</xdr:rowOff>
    </xdr:from>
    <xdr:to>
      <xdr:col>2</xdr:col>
      <xdr:colOff>152400</xdr:colOff>
      <xdr:row>13</xdr:row>
      <xdr:rowOff>127000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1A567F8E-2FBB-450E-923D-05664F14DC78}"/>
            </a:ext>
          </a:extLst>
        </xdr:cNvPr>
        <xdr:cNvCxnSpPr/>
      </xdr:nvCxnSpPr>
      <xdr:spPr>
        <a:xfrm>
          <a:off x="889000" y="2355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1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14</xdr:row>
      <xdr:rowOff>127000</xdr:rowOff>
    </xdr:from>
    <xdr:to>
      <xdr:col>2</xdr:col>
      <xdr:colOff>152400</xdr:colOff>
      <xdr:row>14</xdr:row>
      <xdr:rowOff>127000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26B6CD12-C1D5-49F2-9E53-3A7B166A64E4}"/>
            </a:ext>
          </a:extLst>
        </xdr:cNvPr>
        <xdr:cNvCxnSpPr/>
      </xdr:nvCxnSpPr>
      <xdr:spPr>
        <a:xfrm>
          <a:off x="889000" y="2527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1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15</xdr:row>
      <xdr:rowOff>127000</xdr:rowOff>
    </xdr:from>
    <xdr:to>
      <xdr:col>2</xdr:col>
      <xdr:colOff>152400</xdr:colOff>
      <xdr:row>15</xdr:row>
      <xdr:rowOff>127000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3A4C4FC4-4A30-41B5-BF18-FCB2E51EF1C5}"/>
            </a:ext>
          </a:extLst>
        </xdr:cNvPr>
        <xdr:cNvCxnSpPr/>
      </xdr:nvCxnSpPr>
      <xdr:spPr>
        <a:xfrm>
          <a:off x="889000" y="2698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16</xdr:row>
      <xdr:rowOff>127000</xdr:rowOff>
    </xdr:from>
    <xdr:to>
      <xdr:col>2</xdr:col>
      <xdr:colOff>152400</xdr:colOff>
      <xdr:row>16</xdr:row>
      <xdr:rowOff>127000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63F3CAB-76BC-46E2-9B1A-8D380FF43641}"/>
            </a:ext>
          </a:extLst>
        </xdr:cNvPr>
        <xdr:cNvCxnSpPr/>
      </xdr:nvCxnSpPr>
      <xdr:spPr>
        <a:xfrm>
          <a:off x="889000" y="2870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17</xdr:row>
      <xdr:rowOff>127000</xdr:rowOff>
    </xdr:from>
    <xdr:to>
      <xdr:col>2</xdr:col>
      <xdr:colOff>152400</xdr:colOff>
      <xdr:row>17</xdr:row>
      <xdr:rowOff>127000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DE1E707C-0DF1-482B-9BBD-743A9371398E}"/>
            </a:ext>
          </a:extLst>
        </xdr:cNvPr>
        <xdr:cNvCxnSpPr/>
      </xdr:nvCxnSpPr>
      <xdr:spPr>
        <a:xfrm>
          <a:off x="889000" y="3041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18</xdr:row>
      <xdr:rowOff>127000</xdr:rowOff>
    </xdr:from>
    <xdr:to>
      <xdr:col>2</xdr:col>
      <xdr:colOff>152400</xdr:colOff>
      <xdr:row>18</xdr:row>
      <xdr:rowOff>127000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EE3F6678-05DB-4AC4-8908-603BA17449F0}"/>
            </a:ext>
          </a:extLst>
        </xdr:cNvPr>
        <xdr:cNvCxnSpPr/>
      </xdr:nvCxnSpPr>
      <xdr:spPr>
        <a:xfrm>
          <a:off x="889000" y="3213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8000" mc:Ignorable="a14" a14:legacySpreadsheetColorIndex="1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19</xdr:row>
      <xdr:rowOff>127000</xdr:rowOff>
    </xdr:from>
    <xdr:to>
      <xdr:col>2</xdr:col>
      <xdr:colOff>152400</xdr:colOff>
      <xdr:row>19</xdr:row>
      <xdr:rowOff>127000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E0E54691-F493-414B-94C2-99FD7D531918}"/>
            </a:ext>
          </a:extLst>
        </xdr:cNvPr>
        <xdr:cNvCxnSpPr/>
      </xdr:nvCxnSpPr>
      <xdr:spPr>
        <a:xfrm>
          <a:off x="889000" y="3384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80" mc:Ignorable="a14" a14:legacySpreadsheetColorIndex="2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20</xdr:row>
      <xdr:rowOff>127000</xdr:rowOff>
    </xdr:from>
    <xdr:to>
      <xdr:col>2</xdr:col>
      <xdr:colOff>152400</xdr:colOff>
      <xdr:row>20</xdr:row>
      <xdr:rowOff>127000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37B9B57C-CDA9-4135-ADF8-1A854AEBCF1A}"/>
            </a:ext>
          </a:extLst>
        </xdr:cNvPr>
        <xdr:cNvCxnSpPr/>
      </xdr:nvCxnSpPr>
      <xdr:spPr>
        <a:xfrm>
          <a:off x="889000" y="3556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21</xdr:row>
      <xdr:rowOff>127000</xdr:rowOff>
    </xdr:from>
    <xdr:to>
      <xdr:col>2</xdr:col>
      <xdr:colOff>152400</xdr:colOff>
      <xdr:row>21</xdr:row>
      <xdr:rowOff>127000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D4BBE1A1-93ED-4FF7-AA7C-64286F27864D}"/>
            </a:ext>
          </a:extLst>
        </xdr:cNvPr>
        <xdr:cNvCxnSpPr/>
      </xdr:nvCxnSpPr>
      <xdr:spPr>
        <a:xfrm>
          <a:off x="889000" y="3727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0C0C0" mc:Ignorable="a14" a14:legacySpreadsheetColorIndex="2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22</xdr:row>
      <xdr:rowOff>127000</xdr:rowOff>
    </xdr:from>
    <xdr:to>
      <xdr:col>2</xdr:col>
      <xdr:colOff>152400</xdr:colOff>
      <xdr:row>22</xdr:row>
      <xdr:rowOff>127000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3160E757-0829-4BD5-9DD2-628AE696A00F}"/>
            </a:ext>
          </a:extLst>
        </xdr:cNvPr>
        <xdr:cNvCxnSpPr/>
      </xdr:nvCxnSpPr>
      <xdr:spPr>
        <a:xfrm>
          <a:off x="889000" y="3898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23</xdr:row>
      <xdr:rowOff>127000</xdr:rowOff>
    </xdr:from>
    <xdr:to>
      <xdr:col>2</xdr:col>
      <xdr:colOff>152400</xdr:colOff>
      <xdr:row>23</xdr:row>
      <xdr:rowOff>127000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091D179-2238-4A1C-A220-50F1EF994806}"/>
            </a:ext>
          </a:extLst>
        </xdr:cNvPr>
        <xdr:cNvCxnSpPr/>
      </xdr:nvCxnSpPr>
      <xdr:spPr>
        <a:xfrm>
          <a:off x="889000" y="4070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99FF" mc:Ignorable="a14" a14:legacySpreadsheetColorIndex="2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24</xdr:row>
      <xdr:rowOff>127000</xdr:rowOff>
    </xdr:from>
    <xdr:to>
      <xdr:col>2</xdr:col>
      <xdr:colOff>152400</xdr:colOff>
      <xdr:row>24</xdr:row>
      <xdr:rowOff>127000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CDF22253-5108-4F52-A0F4-91275BD5C171}"/>
            </a:ext>
          </a:extLst>
        </xdr:cNvPr>
        <xdr:cNvCxnSpPr/>
      </xdr:nvCxnSpPr>
      <xdr:spPr>
        <a:xfrm>
          <a:off x="889000" y="4241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66" mc:Ignorable="a14" a14:legacySpreadsheetColorIndex="2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25</xdr:row>
      <xdr:rowOff>127000</xdr:rowOff>
    </xdr:from>
    <xdr:to>
      <xdr:col>2</xdr:col>
      <xdr:colOff>152400</xdr:colOff>
      <xdr:row>25</xdr:row>
      <xdr:rowOff>127000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CF1BA7E4-83D7-4573-B284-68EDDB13F72D}"/>
            </a:ext>
          </a:extLst>
        </xdr:cNvPr>
        <xdr:cNvCxnSpPr/>
      </xdr:nvCxnSpPr>
      <xdr:spPr>
        <a:xfrm>
          <a:off x="889000" y="4413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26</xdr:row>
      <xdr:rowOff>127000</xdr:rowOff>
    </xdr:from>
    <xdr:to>
      <xdr:col>2</xdr:col>
      <xdr:colOff>152400</xdr:colOff>
      <xdr:row>26</xdr:row>
      <xdr:rowOff>127000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7ABC562C-4FDE-4CD0-BFE8-9B638879A2C4}"/>
            </a:ext>
          </a:extLst>
        </xdr:cNvPr>
        <xdr:cNvCxnSpPr/>
      </xdr:nvCxnSpPr>
      <xdr:spPr>
        <a:xfrm>
          <a:off x="889000" y="4584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FF" mc:Ignorable="a14" a14:legacySpreadsheetColorIndex="2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27</xdr:row>
      <xdr:rowOff>127000</xdr:rowOff>
    </xdr:from>
    <xdr:to>
      <xdr:col>2</xdr:col>
      <xdr:colOff>152400</xdr:colOff>
      <xdr:row>27</xdr:row>
      <xdr:rowOff>127000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79C6CF6F-B178-4121-898A-34673ED879AE}"/>
            </a:ext>
          </a:extLst>
        </xdr:cNvPr>
        <xdr:cNvCxnSpPr/>
      </xdr:nvCxnSpPr>
      <xdr:spPr>
        <a:xfrm>
          <a:off x="889000" y="4756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60066" mc:Ignorable="a14" a14:legacySpreadsheetColorIndex="2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28</xdr:row>
      <xdr:rowOff>127000</xdr:rowOff>
    </xdr:from>
    <xdr:to>
      <xdr:col>2</xdr:col>
      <xdr:colOff>152400</xdr:colOff>
      <xdr:row>28</xdr:row>
      <xdr:rowOff>127000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E9778922-66C3-4587-8B2B-96DC61EF9A0C}"/>
            </a:ext>
          </a:extLst>
        </xdr:cNvPr>
        <xdr:cNvCxnSpPr/>
      </xdr:nvCxnSpPr>
      <xdr:spPr>
        <a:xfrm>
          <a:off x="889000" y="4927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8080" mc:Ignorable="a14" a14:legacySpreadsheetColorIndex="2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29</xdr:row>
      <xdr:rowOff>127000</xdr:rowOff>
    </xdr:from>
    <xdr:to>
      <xdr:col>2</xdr:col>
      <xdr:colOff>152400</xdr:colOff>
      <xdr:row>29</xdr:row>
      <xdr:rowOff>127000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8DA41C67-7171-4D7C-8DB5-BE04953BABDE}"/>
            </a:ext>
          </a:extLst>
        </xdr:cNvPr>
        <xdr:cNvCxnSpPr/>
      </xdr:nvCxnSpPr>
      <xdr:spPr>
        <a:xfrm>
          <a:off x="889000" y="5099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66CC" mc:Ignorable="a14" a14:legacySpreadsheetColorIndex="3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30</xdr:row>
      <xdr:rowOff>127000</xdr:rowOff>
    </xdr:from>
    <xdr:to>
      <xdr:col>2</xdr:col>
      <xdr:colOff>152400</xdr:colOff>
      <xdr:row>30</xdr:row>
      <xdr:rowOff>127000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1706E578-BB43-49EF-AC54-BEB3E3D8C257}"/>
            </a:ext>
          </a:extLst>
        </xdr:cNvPr>
        <xdr:cNvCxnSpPr/>
      </xdr:nvCxnSpPr>
      <xdr:spPr>
        <a:xfrm>
          <a:off x="889000" y="5270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CCFF" mc:Ignorable="a14" a14:legacySpreadsheetColorIndex="3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31</xdr:row>
      <xdr:rowOff>127000</xdr:rowOff>
    </xdr:from>
    <xdr:to>
      <xdr:col>2</xdr:col>
      <xdr:colOff>152400</xdr:colOff>
      <xdr:row>31</xdr:row>
      <xdr:rowOff>127000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3893CCB3-9B80-4E82-8430-3B1682B715A0}"/>
            </a:ext>
          </a:extLst>
        </xdr:cNvPr>
        <xdr:cNvCxnSpPr/>
      </xdr:nvCxnSpPr>
      <xdr:spPr>
        <a:xfrm>
          <a:off x="889000" y="5441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80" mc:Ignorable="a14" a14:legacySpreadsheetColorIndex="3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32</xdr:row>
      <xdr:rowOff>127000</xdr:rowOff>
    </xdr:from>
    <xdr:to>
      <xdr:col>2</xdr:col>
      <xdr:colOff>152400</xdr:colOff>
      <xdr:row>32</xdr:row>
      <xdr:rowOff>127000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DEA18124-85BB-42B0-9478-29BE030F2F5C}"/>
            </a:ext>
          </a:extLst>
        </xdr:cNvPr>
        <xdr:cNvCxnSpPr/>
      </xdr:nvCxnSpPr>
      <xdr:spPr>
        <a:xfrm>
          <a:off x="889000" y="5613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00FF" mc:Ignorable="a14" a14:legacySpreadsheetColorIndex="3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33</xdr:row>
      <xdr:rowOff>127000</xdr:rowOff>
    </xdr:from>
    <xdr:to>
      <xdr:col>2</xdr:col>
      <xdr:colOff>152400</xdr:colOff>
      <xdr:row>33</xdr:row>
      <xdr:rowOff>127000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48202B61-FE5A-4AD2-8C2A-AC488E9274CF}"/>
            </a:ext>
          </a:extLst>
        </xdr:cNvPr>
        <xdr:cNvCxnSpPr/>
      </xdr:nvCxnSpPr>
      <xdr:spPr>
        <a:xfrm>
          <a:off x="889000" y="5784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00" mc:Ignorable="a14" a14:legacySpreadsheetColorIndex="3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34</xdr:row>
      <xdr:rowOff>127000</xdr:rowOff>
    </xdr:from>
    <xdr:to>
      <xdr:col>2</xdr:col>
      <xdr:colOff>152400</xdr:colOff>
      <xdr:row>34</xdr:row>
      <xdr:rowOff>127000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768EC5A3-8B2F-4C6A-BA50-668745A1F222}"/>
            </a:ext>
          </a:extLst>
        </xdr:cNvPr>
        <xdr:cNvCxnSpPr/>
      </xdr:nvCxnSpPr>
      <xdr:spPr>
        <a:xfrm>
          <a:off x="889000" y="5956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FFFF" mc:Ignorable="a14" a14:legacySpreadsheetColorIndex="3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35</xdr:row>
      <xdr:rowOff>127000</xdr:rowOff>
    </xdr:from>
    <xdr:to>
      <xdr:col>2</xdr:col>
      <xdr:colOff>152400</xdr:colOff>
      <xdr:row>35</xdr:row>
      <xdr:rowOff>127000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62490DD5-DCDC-4D21-AE3A-201BAE8BFDB1}"/>
            </a:ext>
          </a:extLst>
        </xdr:cNvPr>
        <xdr:cNvCxnSpPr/>
      </xdr:nvCxnSpPr>
      <xdr:spPr>
        <a:xfrm>
          <a:off x="889000" y="6127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80" mc:Ignorable="a14" a14:legacySpreadsheetColorIndex="3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36</xdr:row>
      <xdr:rowOff>127000</xdr:rowOff>
    </xdr:from>
    <xdr:to>
      <xdr:col>2</xdr:col>
      <xdr:colOff>152400</xdr:colOff>
      <xdr:row>36</xdr:row>
      <xdr:rowOff>127000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B4AEE0D3-6365-49D0-A764-73423CCD85EE}"/>
            </a:ext>
          </a:extLst>
        </xdr:cNvPr>
        <xdr:cNvCxnSpPr/>
      </xdr:nvCxnSpPr>
      <xdr:spPr>
        <a:xfrm>
          <a:off x="889000" y="6299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800000" mc:Ignorable="a14" a14:legacySpreadsheetColorIndex="3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37</xdr:row>
      <xdr:rowOff>127000</xdr:rowOff>
    </xdr:from>
    <xdr:to>
      <xdr:col>2</xdr:col>
      <xdr:colOff>152400</xdr:colOff>
      <xdr:row>37</xdr:row>
      <xdr:rowOff>127000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3DE8FA2D-3D5A-4041-8BF0-4B34EDDFFA22}"/>
            </a:ext>
          </a:extLst>
        </xdr:cNvPr>
        <xdr:cNvCxnSpPr/>
      </xdr:nvCxnSpPr>
      <xdr:spPr>
        <a:xfrm>
          <a:off x="889000" y="6470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8080" mc:Ignorable="a14" a14:legacySpreadsheetColorIndex="3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38</xdr:row>
      <xdr:rowOff>127000</xdr:rowOff>
    </xdr:from>
    <xdr:to>
      <xdr:col>2</xdr:col>
      <xdr:colOff>152400</xdr:colOff>
      <xdr:row>38</xdr:row>
      <xdr:rowOff>127000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8B64FD98-9913-470A-8A07-43DAB149E570}"/>
            </a:ext>
          </a:extLst>
        </xdr:cNvPr>
        <xdr:cNvCxnSpPr/>
      </xdr:nvCxnSpPr>
      <xdr:spPr>
        <a:xfrm>
          <a:off x="889000" y="6642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FF" mc:Ignorable="a14" a14:legacySpreadsheetColorIndex="3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39</xdr:row>
      <xdr:rowOff>127000</xdr:rowOff>
    </xdr:from>
    <xdr:to>
      <xdr:col>2</xdr:col>
      <xdr:colOff>152400</xdr:colOff>
      <xdr:row>39</xdr:row>
      <xdr:rowOff>127000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70401744-D36C-47DD-918E-411FAEFCBAA6}"/>
            </a:ext>
          </a:extLst>
        </xdr:cNvPr>
        <xdr:cNvCxnSpPr/>
      </xdr:nvCxnSpPr>
      <xdr:spPr>
        <a:xfrm>
          <a:off x="889000" y="6813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40</xdr:row>
      <xdr:rowOff>127000</xdr:rowOff>
    </xdr:from>
    <xdr:to>
      <xdr:col>2</xdr:col>
      <xdr:colOff>152400</xdr:colOff>
      <xdr:row>40</xdr:row>
      <xdr:rowOff>127000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9C2F952C-1C77-4811-9068-2FF0864D51C4}"/>
            </a:ext>
          </a:extLst>
        </xdr:cNvPr>
        <xdr:cNvCxnSpPr/>
      </xdr:nvCxnSpPr>
      <xdr:spPr>
        <a:xfrm>
          <a:off x="889000" y="6985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FF" mc:Ignorable="a14" a14:legacySpreadsheetColorIndex="4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41</xdr:row>
      <xdr:rowOff>127000</xdr:rowOff>
    </xdr:from>
    <xdr:to>
      <xdr:col>2</xdr:col>
      <xdr:colOff>152400</xdr:colOff>
      <xdr:row>41</xdr:row>
      <xdr:rowOff>127000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5F789A3A-D1CE-4244-8DF3-65C0B95580CD}"/>
            </a:ext>
          </a:extLst>
        </xdr:cNvPr>
        <xdr:cNvCxnSpPr/>
      </xdr:nvCxnSpPr>
      <xdr:spPr>
        <a:xfrm>
          <a:off x="889000" y="7156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FFCC" mc:Ignorable="a14" a14:legacySpreadsheetColorIndex="4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42</xdr:row>
      <xdr:rowOff>127000</xdr:rowOff>
    </xdr:from>
    <xdr:to>
      <xdr:col>2</xdr:col>
      <xdr:colOff>152400</xdr:colOff>
      <xdr:row>42</xdr:row>
      <xdr:rowOff>127000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2F014A02-A441-4025-B330-8406BA406441}"/>
            </a:ext>
          </a:extLst>
        </xdr:cNvPr>
        <xdr:cNvCxnSpPr/>
      </xdr:nvCxnSpPr>
      <xdr:spPr>
        <a:xfrm>
          <a:off x="889000" y="7327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99" mc:Ignorable="a14" a14:legacySpreadsheetColorIndex="4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43</xdr:row>
      <xdr:rowOff>127000</xdr:rowOff>
    </xdr:from>
    <xdr:to>
      <xdr:col>2</xdr:col>
      <xdr:colOff>152400</xdr:colOff>
      <xdr:row>43</xdr:row>
      <xdr:rowOff>127000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2CB7727-A1B2-466C-99D9-E5FD87DD837E}"/>
            </a:ext>
          </a:extLst>
        </xdr:cNvPr>
        <xdr:cNvCxnSpPr/>
      </xdr:nvCxnSpPr>
      <xdr:spPr>
        <a:xfrm>
          <a:off x="889000" y="7499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44</xdr:row>
      <xdr:rowOff>127000</xdr:rowOff>
    </xdr:from>
    <xdr:to>
      <xdr:col>2</xdr:col>
      <xdr:colOff>152400</xdr:colOff>
      <xdr:row>44</xdr:row>
      <xdr:rowOff>127000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1EC0254A-9564-4DC0-94F3-435FD12246DD}"/>
            </a:ext>
          </a:extLst>
        </xdr:cNvPr>
        <xdr:cNvCxnSpPr/>
      </xdr:nvCxnSpPr>
      <xdr:spPr>
        <a:xfrm>
          <a:off x="889000" y="7670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99CC" mc:Ignorable="a14" a14:legacySpreadsheetColorIndex="4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45</xdr:row>
      <xdr:rowOff>127000</xdr:rowOff>
    </xdr:from>
    <xdr:to>
      <xdr:col>2</xdr:col>
      <xdr:colOff>152400</xdr:colOff>
      <xdr:row>45</xdr:row>
      <xdr:rowOff>127000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434E5636-9370-4744-A020-C43AF52CBC88}"/>
            </a:ext>
          </a:extLst>
        </xdr:cNvPr>
        <xdr:cNvCxnSpPr/>
      </xdr:nvCxnSpPr>
      <xdr:spPr>
        <a:xfrm>
          <a:off x="889000" y="7842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C99FF" mc:Ignorable="a14" a14:legacySpreadsheetColorIndex="4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46</xdr:row>
      <xdr:rowOff>127000</xdr:rowOff>
    </xdr:from>
    <xdr:to>
      <xdr:col>2</xdr:col>
      <xdr:colOff>152400</xdr:colOff>
      <xdr:row>46</xdr:row>
      <xdr:rowOff>127000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F2ACE2BA-0AF9-4A28-9929-7C5718B19031}"/>
            </a:ext>
          </a:extLst>
        </xdr:cNvPr>
        <xdr:cNvCxnSpPr/>
      </xdr:nvCxnSpPr>
      <xdr:spPr>
        <a:xfrm>
          <a:off x="889000" y="8013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CC99" mc:Ignorable="a14" a14:legacySpreadsheetColorIndex="4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47</xdr:row>
      <xdr:rowOff>127000</xdr:rowOff>
    </xdr:from>
    <xdr:to>
      <xdr:col>2</xdr:col>
      <xdr:colOff>152400</xdr:colOff>
      <xdr:row>47</xdr:row>
      <xdr:rowOff>127000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58FED718-632A-4731-BA6E-657A8A5F52F1}"/>
            </a:ext>
          </a:extLst>
        </xdr:cNvPr>
        <xdr:cNvCxnSpPr/>
      </xdr:nvCxnSpPr>
      <xdr:spPr>
        <a:xfrm>
          <a:off x="889000" y="8185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66FF" mc:Ignorable="a14" a14:legacySpreadsheetColorIndex="4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48</xdr:row>
      <xdr:rowOff>127000</xdr:rowOff>
    </xdr:from>
    <xdr:to>
      <xdr:col>2</xdr:col>
      <xdr:colOff>152400</xdr:colOff>
      <xdr:row>48</xdr:row>
      <xdr:rowOff>127000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8ED576F6-43A7-4364-B16C-82FA453170F2}"/>
            </a:ext>
          </a:extLst>
        </xdr:cNvPr>
        <xdr:cNvCxnSpPr/>
      </xdr:nvCxnSpPr>
      <xdr:spPr>
        <a:xfrm>
          <a:off x="889000" y="8356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CCCC" mc:Ignorable="a14" a14:legacySpreadsheetColorIndex="4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49</xdr:row>
      <xdr:rowOff>127000</xdr:rowOff>
    </xdr:from>
    <xdr:to>
      <xdr:col>2</xdr:col>
      <xdr:colOff>152400</xdr:colOff>
      <xdr:row>49</xdr:row>
      <xdr:rowOff>127000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E5CFF821-D27A-41F5-9D4E-537E280ECB8C}"/>
            </a:ext>
          </a:extLst>
        </xdr:cNvPr>
        <xdr:cNvCxnSpPr/>
      </xdr:nvCxnSpPr>
      <xdr:spPr>
        <a:xfrm>
          <a:off x="889000" y="8528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50</xdr:row>
      <xdr:rowOff>127000</xdr:rowOff>
    </xdr:from>
    <xdr:to>
      <xdr:col>2</xdr:col>
      <xdr:colOff>152400</xdr:colOff>
      <xdr:row>50</xdr:row>
      <xdr:rowOff>127000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6609CF60-C41E-4BD6-A3EC-F5FCF251A811}"/>
            </a:ext>
          </a:extLst>
        </xdr:cNvPr>
        <xdr:cNvCxnSpPr/>
      </xdr:nvCxnSpPr>
      <xdr:spPr>
        <a:xfrm>
          <a:off x="889000" y="8699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51</xdr:row>
      <xdr:rowOff>127000</xdr:rowOff>
    </xdr:from>
    <xdr:to>
      <xdr:col>2</xdr:col>
      <xdr:colOff>152400</xdr:colOff>
      <xdr:row>51</xdr:row>
      <xdr:rowOff>127000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4C0B706E-B968-458F-8DF4-10416DF8980A}"/>
            </a:ext>
          </a:extLst>
        </xdr:cNvPr>
        <xdr:cNvCxnSpPr/>
      </xdr:nvCxnSpPr>
      <xdr:spPr>
        <a:xfrm>
          <a:off x="889000" y="8870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52</xdr:row>
      <xdr:rowOff>127000</xdr:rowOff>
    </xdr:from>
    <xdr:to>
      <xdr:col>2</xdr:col>
      <xdr:colOff>152400</xdr:colOff>
      <xdr:row>52</xdr:row>
      <xdr:rowOff>127000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EF20FBE9-E672-48CE-9014-0C8E352C829B}"/>
            </a:ext>
          </a:extLst>
        </xdr:cNvPr>
        <xdr:cNvCxnSpPr/>
      </xdr:nvCxnSpPr>
      <xdr:spPr>
        <a:xfrm>
          <a:off x="889000" y="9042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53</xdr:row>
      <xdr:rowOff>127000</xdr:rowOff>
    </xdr:from>
    <xdr:to>
      <xdr:col>2</xdr:col>
      <xdr:colOff>152400</xdr:colOff>
      <xdr:row>53</xdr:row>
      <xdr:rowOff>127000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08B6FEF8-14A9-49B6-97DD-C1F0FBF984C9}"/>
            </a:ext>
          </a:extLst>
        </xdr:cNvPr>
        <xdr:cNvCxnSpPr/>
      </xdr:nvCxnSpPr>
      <xdr:spPr>
        <a:xfrm>
          <a:off x="889000" y="9213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66699" mc:Ignorable="a14" a14:legacySpreadsheetColorIndex="5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54</xdr:row>
      <xdr:rowOff>127000</xdr:rowOff>
    </xdr:from>
    <xdr:to>
      <xdr:col>2</xdr:col>
      <xdr:colOff>152400</xdr:colOff>
      <xdr:row>54</xdr:row>
      <xdr:rowOff>127000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202DB1A4-9BB7-4496-8767-AED635E28EB7}"/>
            </a:ext>
          </a:extLst>
        </xdr:cNvPr>
        <xdr:cNvCxnSpPr/>
      </xdr:nvCxnSpPr>
      <xdr:spPr>
        <a:xfrm>
          <a:off x="889000" y="9385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69696" mc:Ignorable="a14" a14:legacySpreadsheetColorIndex="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55</xdr:row>
      <xdr:rowOff>127000</xdr:rowOff>
    </xdr:from>
    <xdr:to>
      <xdr:col>2</xdr:col>
      <xdr:colOff>152400</xdr:colOff>
      <xdr:row>55</xdr:row>
      <xdr:rowOff>127000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79C683E4-C005-4EB7-B0D8-4CEC4B8CA047}"/>
            </a:ext>
          </a:extLst>
        </xdr:cNvPr>
        <xdr:cNvCxnSpPr/>
      </xdr:nvCxnSpPr>
      <xdr:spPr>
        <a:xfrm>
          <a:off x="889000" y="9556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3366" mc:Ignorable="a14" a14:legacySpreadsheetColorIndex="5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56</xdr:row>
      <xdr:rowOff>127000</xdr:rowOff>
    </xdr:from>
    <xdr:to>
      <xdr:col>2</xdr:col>
      <xdr:colOff>152400</xdr:colOff>
      <xdr:row>56</xdr:row>
      <xdr:rowOff>127000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6836B78C-3258-40D9-A786-EA7C351A33EF}"/>
            </a:ext>
          </a:extLst>
        </xdr:cNvPr>
        <xdr:cNvCxnSpPr/>
      </xdr:nvCxnSpPr>
      <xdr:spPr>
        <a:xfrm>
          <a:off x="889000" y="9728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9966" mc:Ignorable="a14" a14:legacySpreadsheetColorIndex="5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57</xdr:row>
      <xdr:rowOff>127000</xdr:rowOff>
    </xdr:from>
    <xdr:to>
      <xdr:col>2</xdr:col>
      <xdr:colOff>152400</xdr:colOff>
      <xdr:row>57</xdr:row>
      <xdr:rowOff>127000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B62DB610-873E-4C15-8098-CDE51DCF5542}"/>
            </a:ext>
          </a:extLst>
        </xdr:cNvPr>
        <xdr:cNvCxnSpPr/>
      </xdr:nvCxnSpPr>
      <xdr:spPr>
        <a:xfrm>
          <a:off x="889000" y="9899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3300" mc:Ignorable="a14" a14:legacySpreadsheetColorIndex="5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58</xdr:row>
      <xdr:rowOff>127000</xdr:rowOff>
    </xdr:from>
    <xdr:to>
      <xdr:col>2</xdr:col>
      <xdr:colOff>152400</xdr:colOff>
      <xdr:row>58</xdr:row>
      <xdr:rowOff>127000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74B14ECC-6D19-4EBB-BD2F-1DD4F79EE9A4}"/>
            </a:ext>
          </a:extLst>
        </xdr:cNvPr>
        <xdr:cNvCxnSpPr/>
      </xdr:nvCxnSpPr>
      <xdr:spPr>
        <a:xfrm>
          <a:off x="889000" y="10071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00" mc:Ignorable="a14" a14:legacySpreadsheetColorIndex="5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59</xdr:row>
      <xdr:rowOff>127000</xdr:rowOff>
    </xdr:from>
    <xdr:to>
      <xdr:col>2</xdr:col>
      <xdr:colOff>152400</xdr:colOff>
      <xdr:row>59</xdr:row>
      <xdr:rowOff>127000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409D958E-B736-415B-80F7-2FECC73C58B0}"/>
            </a:ext>
          </a:extLst>
        </xdr:cNvPr>
        <xdr:cNvCxnSpPr/>
      </xdr:nvCxnSpPr>
      <xdr:spPr>
        <a:xfrm>
          <a:off x="889000" y="10242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00" mc:Ignorable="a14" a14:legacySpreadsheetColorIndex="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60</xdr:row>
      <xdr:rowOff>127000</xdr:rowOff>
    </xdr:from>
    <xdr:to>
      <xdr:col>2</xdr:col>
      <xdr:colOff>152400</xdr:colOff>
      <xdr:row>60</xdr:row>
      <xdr:rowOff>127000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728A2D6C-5B86-47D1-83AF-F9E0B1133491}"/>
            </a:ext>
          </a:extLst>
        </xdr:cNvPr>
        <xdr:cNvCxnSpPr/>
      </xdr:nvCxnSpPr>
      <xdr:spPr>
        <a:xfrm>
          <a:off x="889000" y="104140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993366" mc:Ignorable="a14" a14:legacySpreadsheetColorIndex="6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61</xdr:row>
      <xdr:rowOff>127000</xdr:rowOff>
    </xdr:from>
    <xdr:to>
      <xdr:col>2</xdr:col>
      <xdr:colOff>152400</xdr:colOff>
      <xdr:row>61</xdr:row>
      <xdr:rowOff>127000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A3404FA-8BAD-4F94-A78C-3B5F8DEAE2EC}"/>
            </a:ext>
          </a:extLst>
        </xdr:cNvPr>
        <xdr:cNvCxnSpPr/>
      </xdr:nvCxnSpPr>
      <xdr:spPr>
        <a:xfrm>
          <a:off x="889000" y="105854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62</xdr:row>
      <xdr:rowOff>127000</xdr:rowOff>
    </xdr:from>
    <xdr:to>
      <xdr:col>2</xdr:col>
      <xdr:colOff>152400</xdr:colOff>
      <xdr:row>62</xdr:row>
      <xdr:rowOff>127000</xdr:rowOff>
    </xdr:to>
    <xdr:cxnSp macro="">
      <xdr:nvCxnSpPr>
        <xdr:cNvPr id="64" name="直線コネクタ 63">
          <a:extLst>
            <a:ext uri="{FF2B5EF4-FFF2-40B4-BE49-F238E27FC236}">
              <a16:creationId xmlns:a16="http://schemas.microsoft.com/office/drawing/2014/main" id="{646C36B4-B3E4-4195-82CA-565B4413C2E0}"/>
            </a:ext>
          </a:extLst>
        </xdr:cNvPr>
        <xdr:cNvCxnSpPr/>
      </xdr:nvCxnSpPr>
      <xdr:spPr>
        <a:xfrm>
          <a:off x="889000" y="107569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33333" mc:Ignorable="a14" a14:legacySpreadsheetColorIndex="6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63</xdr:row>
      <xdr:rowOff>127000</xdr:rowOff>
    </xdr:from>
    <xdr:to>
      <xdr:col>2</xdr:col>
      <xdr:colOff>152400</xdr:colOff>
      <xdr:row>63</xdr:row>
      <xdr:rowOff>127000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6FCB4AC5-04FE-42AF-A20A-F753F0AAFD13}"/>
            </a:ext>
          </a:extLst>
        </xdr:cNvPr>
        <xdr:cNvCxnSpPr/>
      </xdr:nvCxnSpPr>
      <xdr:spPr>
        <a:xfrm>
          <a:off x="889000" y="109283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64</xdr:row>
      <xdr:rowOff>127000</xdr:rowOff>
    </xdr:from>
    <xdr:to>
      <xdr:col>2</xdr:col>
      <xdr:colOff>152400</xdr:colOff>
      <xdr:row>64</xdr:row>
      <xdr:rowOff>127000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F19A07C3-CB08-40EB-A338-A20BD4DA8E50}"/>
            </a:ext>
          </a:extLst>
        </xdr:cNvPr>
        <xdr:cNvCxnSpPr/>
      </xdr:nvCxnSpPr>
      <xdr:spPr>
        <a:xfrm>
          <a:off x="889000" y="110998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65</xdr:row>
      <xdr:rowOff>127000</xdr:rowOff>
    </xdr:from>
    <xdr:to>
      <xdr:col>2</xdr:col>
      <xdr:colOff>152400</xdr:colOff>
      <xdr:row>65</xdr:row>
      <xdr:rowOff>127000</xdr:rowOff>
    </xdr:to>
    <xdr:cxnSp macro="">
      <xdr:nvCxnSpPr>
        <xdr:cNvPr id="67" name="直線コネクタ 66">
          <a:extLst>
            <a:ext uri="{FF2B5EF4-FFF2-40B4-BE49-F238E27FC236}">
              <a16:creationId xmlns:a16="http://schemas.microsoft.com/office/drawing/2014/main" id="{57C796C7-F6A8-477F-ABA3-D750FE942ED3}"/>
            </a:ext>
          </a:extLst>
        </xdr:cNvPr>
        <xdr:cNvCxnSpPr/>
      </xdr:nvCxnSpPr>
      <xdr:spPr>
        <a:xfrm>
          <a:off x="889000" y="112712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46464" mc:Ignorable="a14" a14:legacySpreadsheetColorIndex="6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66</xdr:row>
      <xdr:rowOff>127000</xdr:rowOff>
    </xdr:from>
    <xdr:to>
      <xdr:col>2</xdr:col>
      <xdr:colOff>152400</xdr:colOff>
      <xdr:row>66</xdr:row>
      <xdr:rowOff>127000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2A41993A-FEAB-4D1C-9A40-1D347D302CCD}"/>
            </a:ext>
          </a:extLst>
        </xdr:cNvPr>
        <xdr:cNvCxnSpPr/>
      </xdr:nvCxnSpPr>
      <xdr:spPr>
        <a:xfrm>
          <a:off x="889000" y="114427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0F0F0" mc:Ignorable="a14" a14:legacySpreadsheetColorIndex="6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67</xdr:row>
      <xdr:rowOff>127000</xdr:rowOff>
    </xdr:from>
    <xdr:to>
      <xdr:col>2</xdr:col>
      <xdr:colOff>152400</xdr:colOff>
      <xdr:row>67</xdr:row>
      <xdr:rowOff>127000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268FBF2C-63D7-4D17-ADE9-612F4AC81135}"/>
            </a:ext>
          </a:extLst>
        </xdr:cNvPr>
        <xdr:cNvCxnSpPr/>
      </xdr:nvCxnSpPr>
      <xdr:spPr>
        <a:xfrm>
          <a:off x="889000" y="116141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6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68</xdr:row>
      <xdr:rowOff>127000</xdr:rowOff>
    </xdr:from>
    <xdr:to>
      <xdr:col>2</xdr:col>
      <xdr:colOff>152400</xdr:colOff>
      <xdr:row>68</xdr:row>
      <xdr:rowOff>127000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8FB76D96-8A27-4506-81C4-27A5BE70FB4F}"/>
            </a:ext>
          </a:extLst>
        </xdr:cNvPr>
        <xdr:cNvCxnSpPr/>
      </xdr:nvCxnSpPr>
      <xdr:spPr>
        <a:xfrm>
          <a:off x="889000" y="117856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6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69</xdr:row>
      <xdr:rowOff>127000</xdr:rowOff>
    </xdr:from>
    <xdr:to>
      <xdr:col>2</xdr:col>
      <xdr:colOff>152400</xdr:colOff>
      <xdr:row>69</xdr:row>
      <xdr:rowOff>127000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7104DB65-F215-477B-A1A6-3D977B5073EC}"/>
            </a:ext>
          </a:extLst>
        </xdr:cNvPr>
        <xdr:cNvCxnSpPr/>
      </xdr:nvCxnSpPr>
      <xdr:spPr>
        <a:xfrm>
          <a:off x="889000" y="119570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A0A0A0" mc:Ignorable="a14" a14:legacySpreadsheetColorIndex="7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70</xdr:row>
      <xdr:rowOff>127000</xdr:rowOff>
    </xdr:from>
    <xdr:to>
      <xdr:col>2</xdr:col>
      <xdr:colOff>152400</xdr:colOff>
      <xdr:row>70</xdr:row>
      <xdr:rowOff>127000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2B40B0CD-A547-46BC-BFB0-268E6A984D3A}"/>
            </a:ext>
          </a:extLst>
        </xdr:cNvPr>
        <xdr:cNvCxnSpPr/>
      </xdr:nvCxnSpPr>
      <xdr:spPr>
        <a:xfrm>
          <a:off x="889000" y="121285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78D7" mc:Ignorable="a14" a14:legacySpreadsheetColorIndex="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71</xdr:row>
      <xdr:rowOff>127000</xdr:rowOff>
    </xdr:from>
    <xdr:to>
      <xdr:col>2</xdr:col>
      <xdr:colOff>152400</xdr:colOff>
      <xdr:row>71</xdr:row>
      <xdr:rowOff>127000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D553684F-ADFC-44F2-8585-9EAAB0E04262}"/>
            </a:ext>
          </a:extLst>
        </xdr:cNvPr>
        <xdr:cNvCxnSpPr/>
      </xdr:nvCxnSpPr>
      <xdr:spPr>
        <a:xfrm>
          <a:off x="889000" y="122999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72</xdr:row>
      <xdr:rowOff>127000</xdr:rowOff>
    </xdr:from>
    <xdr:to>
      <xdr:col>2</xdr:col>
      <xdr:colOff>152400</xdr:colOff>
      <xdr:row>72</xdr:row>
      <xdr:rowOff>127000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BF586A9E-8D4C-4F55-8C2B-5CDD0152340B}"/>
            </a:ext>
          </a:extLst>
        </xdr:cNvPr>
        <xdr:cNvCxnSpPr/>
      </xdr:nvCxnSpPr>
      <xdr:spPr>
        <a:xfrm>
          <a:off x="889000" y="124714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C8C8C8" mc:Ignorable="a14" a14:legacySpreadsheetColorIndex="7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73</xdr:row>
      <xdr:rowOff>127000</xdr:rowOff>
    </xdr:from>
    <xdr:to>
      <xdr:col>2</xdr:col>
      <xdr:colOff>152400</xdr:colOff>
      <xdr:row>73</xdr:row>
      <xdr:rowOff>127000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E8617CA7-60B1-403D-8283-9DEED4CBA804}"/>
            </a:ext>
          </a:extLst>
        </xdr:cNvPr>
        <xdr:cNvCxnSpPr/>
      </xdr:nvCxnSpPr>
      <xdr:spPr>
        <a:xfrm>
          <a:off x="889000" y="126428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373737" mc:Ignorable="a14" a14:legacySpreadsheetColorIndex="7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74</xdr:row>
      <xdr:rowOff>127000</xdr:rowOff>
    </xdr:from>
    <xdr:to>
      <xdr:col>2</xdr:col>
      <xdr:colOff>152400</xdr:colOff>
      <xdr:row>74</xdr:row>
      <xdr:rowOff>127000</xdr:rowOff>
    </xdr:to>
    <xdr:cxnSp macro="">
      <xdr:nvCxnSpPr>
        <xdr:cNvPr id="76" name="直線コネクタ 75">
          <a:extLst>
            <a:ext uri="{FF2B5EF4-FFF2-40B4-BE49-F238E27FC236}">
              <a16:creationId xmlns:a16="http://schemas.microsoft.com/office/drawing/2014/main" id="{BAED177D-3976-462B-A30D-6FFE420F644A}"/>
            </a:ext>
          </a:extLst>
        </xdr:cNvPr>
        <xdr:cNvCxnSpPr/>
      </xdr:nvCxnSpPr>
      <xdr:spPr>
        <a:xfrm>
          <a:off x="889000" y="128143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7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75</xdr:row>
      <xdr:rowOff>127000</xdr:rowOff>
    </xdr:from>
    <xdr:to>
      <xdr:col>2</xdr:col>
      <xdr:colOff>152400</xdr:colOff>
      <xdr:row>75</xdr:row>
      <xdr:rowOff>127000</xdr:rowOff>
    </xdr:to>
    <xdr:cxnSp macro="">
      <xdr:nvCxnSpPr>
        <xdr:cNvPr id="77" name="直線コネクタ 76">
          <a:extLst>
            <a:ext uri="{FF2B5EF4-FFF2-40B4-BE49-F238E27FC236}">
              <a16:creationId xmlns:a16="http://schemas.microsoft.com/office/drawing/2014/main" id="{0DD84531-14D7-4F7B-A3E8-F355EA10AEE5}"/>
            </a:ext>
          </a:extLst>
        </xdr:cNvPr>
        <xdr:cNvCxnSpPr/>
      </xdr:nvCxnSpPr>
      <xdr:spPr>
        <a:xfrm>
          <a:off x="889000" y="129857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646464" mc:Ignorable="a14" a14:legacySpreadsheetColorIndex="76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76</xdr:row>
      <xdr:rowOff>127000</xdr:rowOff>
    </xdr:from>
    <xdr:to>
      <xdr:col>2</xdr:col>
      <xdr:colOff>152400</xdr:colOff>
      <xdr:row>76</xdr:row>
      <xdr:rowOff>127000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FBA2EEDA-E17B-4BE1-A00A-982781F95CBA}"/>
            </a:ext>
          </a:extLst>
        </xdr:cNvPr>
        <xdr:cNvCxnSpPr/>
      </xdr:nvCxnSpPr>
      <xdr:spPr>
        <a:xfrm>
          <a:off x="889000" y="131572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77</xdr:row>
      <xdr:rowOff>127000</xdr:rowOff>
    </xdr:from>
    <xdr:to>
      <xdr:col>2</xdr:col>
      <xdr:colOff>152400</xdr:colOff>
      <xdr:row>77</xdr:row>
      <xdr:rowOff>127000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3FE1852B-CD67-4799-9C4F-DD0728720AE4}"/>
            </a:ext>
          </a:extLst>
        </xdr:cNvPr>
        <xdr:cNvCxnSpPr/>
      </xdr:nvCxnSpPr>
      <xdr:spPr>
        <a:xfrm>
          <a:off x="889000" y="133286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FF" mc:Ignorable="a14" a14:legacySpreadsheetColorIndex="7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78</xdr:row>
      <xdr:rowOff>127000</xdr:rowOff>
    </xdr:from>
    <xdr:to>
      <xdr:col>2</xdr:col>
      <xdr:colOff>152400</xdr:colOff>
      <xdr:row>78</xdr:row>
      <xdr:rowOff>127000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51A2F384-06D6-4EFF-82A7-287621C8F9F7}"/>
            </a:ext>
          </a:extLst>
        </xdr:cNvPr>
        <xdr:cNvCxnSpPr/>
      </xdr:nvCxnSpPr>
      <xdr:spPr>
        <a:xfrm>
          <a:off x="889000" y="1350010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000000" mc:Ignorable="a14" a14:legacySpreadsheetColorIndex="79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203200</xdr:colOff>
      <xdr:row>79</xdr:row>
      <xdr:rowOff>127000</xdr:rowOff>
    </xdr:from>
    <xdr:to>
      <xdr:col>2</xdr:col>
      <xdr:colOff>152400</xdr:colOff>
      <xdr:row>79</xdr:row>
      <xdr:rowOff>127000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20AD5098-A370-43F2-94E3-26E2E6AB17F9}"/>
            </a:ext>
          </a:extLst>
        </xdr:cNvPr>
        <xdr:cNvCxnSpPr/>
      </xdr:nvCxnSpPr>
      <xdr:spPr>
        <a:xfrm>
          <a:off x="889000" y="13671550"/>
          <a:ext cx="635000" cy="0"/>
        </a:xfrm>
        <a:prstGeom prst="line">
          <a:avLst/>
        </a:prstGeom>
        <a:ln w="38100">
          <a:solidFill>
            <a:srgbClr xmlns:mc="http://schemas.openxmlformats.org/markup-compatibility/2006" xmlns:a14="http://schemas.microsoft.com/office/drawing/2010/main" val="FFFFE1" mc:Ignorable="a14" a14:legacySpreadsheetColorIndex="8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0</xdr:rowOff>
    </xdr:from>
    <xdr:to>
      <xdr:col>13</xdr:col>
      <xdr:colOff>354724</xdr:colOff>
      <xdr:row>25</xdr:row>
      <xdr:rowOff>0</xdr:rowOff>
    </xdr:to>
    <xdr:graphicFrame macro="">
      <xdr:nvGraphicFramePr>
        <xdr:cNvPr id="18" name="グラフ 17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0</xdr:colOff>
      <xdr:row>27</xdr:row>
      <xdr:rowOff>0</xdr:rowOff>
    </xdr:from>
    <xdr:to>
      <xdr:col>13</xdr:col>
      <xdr:colOff>354724</xdr:colOff>
      <xdr:row>47</xdr:row>
      <xdr:rowOff>0</xdr:rowOff>
    </xdr:to>
    <xdr:graphicFrame macro="">
      <xdr:nvGraphicFramePr>
        <xdr:cNvPr id="19" name="グラフ 18" hidden="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0</xdr:colOff>
      <xdr:row>49</xdr:row>
      <xdr:rowOff>0</xdr:rowOff>
    </xdr:from>
    <xdr:to>
      <xdr:col>13</xdr:col>
      <xdr:colOff>354724</xdr:colOff>
      <xdr:row>69</xdr:row>
      <xdr:rowOff>0</xdr:rowOff>
    </xdr:to>
    <xdr:graphicFrame macro="">
      <xdr:nvGraphicFramePr>
        <xdr:cNvPr id="20" name="グラフ 19" hidden="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5</xdr:row>
      <xdr:rowOff>0</xdr:rowOff>
    </xdr:from>
    <xdr:to>
      <xdr:col>25</xdr:col>
      <xdr:colOff>0</xdr:colOff>
      <xdr:row>25</xdr:row>
      <xdr:rowOff>0</xdr:rowOff>
    </xdr:to>
    <xdr:graphicFrame macro="">
      <xdr:nvGraphicFramePr>
        <xdr:cNvPr id="21" name="グラフ 20" hidden="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0</xdr:colOff>
      <xdr:row>27</xdr:row>
      <xdr:rowOff>0</xdr:rowOff>
    </xdr:from>
    <xdr:to>
      <xdr:col>25</xdr:col>
      <xdr:colOff>0</xdr:colOff>
      <xdr:row>47</xdr:row>
      <xdr:rowOff>0</xdr:rowOff>
    </xdr:to>
    <xdr:graphicFrame macro="">
      <xdr:nvGraphicFramePr>
        <xdr:cNvPr id="22" name="グラフ 21" hidden="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15</xdr:col>
      <xdr:colOff>0</xdr:colOff>
      <xdr:row>49</xdr:row>
      <xdr:rowOff>0</xdr:rowOff>
    </xdr:from>
    <xdr:to>
      <xdr:col>25</xdr:col>
      <xdr:colOff>0</xdr:colOff>
      <xdr:row>69</xdr:row>
      <xdr:rowOff>0</xdr:rowOff>
    </xdr:to>
    <xdr:graphicFrame macro="">
      <xdr:nvGraphicFramePr>
        <xdr:cNvPr id="23" name="グラフ 22" hidden="1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26</xdr:col>
      <xdr:colOff>0</xdr:colOff>
      <xdr:row>5</xdr:row>
      <xdr:rowOff>0</xdr:rowOff>
    </xdr:from>
    <xdr:to>
      <xdr:col>35</xdr:col>
      <xdr:colOff>354724</xdr:colOff>
      <xdr:row>25</xdr:row>
      <xdr:rowOff>0</xdr:rowOff>
    </xdr:to>
    <xdr:graphicFrame macro="">
      <xdr:nvGraphicFramePr>
        <xdr:cNvPr id="24" name="グラフ 23" hidden="1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0</xdr:colOff>
      <xdr:row>27</xdr:row>
      <xdr:rowOff>0</xdr:rowOff>
    </xdr:from>
    <xdr:to>
      <xdr:col>35</xdr:col>
      <xdr:colOff>354724</xdr:colOff>
      <xdr:row>47</xdr:row>
      <xdr:rowOff>0</xdr:rowOff>
    </xdr:to>
    <xdr:graphicFrame macro="">
      <xdr:nvGraphicFramePr>
        <xdr:cNvPr id="25" name="グラフ 24" hidden="1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26</xdr:col>
      <xdr:colOff>0</xdr:colOff>
      <xdr:row>49</xdr:row>
      <xdr:rowOff>0</xdr:rowOff>
    </xdr:from>
    <xdr:to>
      <xdr:col>35</xdr:col>
      <xdr:colOff>354724</xdr:colOff>
      <xdr:row>69</xdr:row>
      <xdr:rowOff>0</xdr:rowOff>
    </xdr:to>
    <xdr:graphicFrame macro="">
      <xdr:nvGraphicFramePr>
        <xdr:cNvPr id="26" name="グラフ 25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37</xdr:col>
      <xdr:colOff>0</xdr:colOff>
      <xdr:row>5</xdr:row>
      <xdr:rowOff>0</xdr:rowOff>
    </xdr:from>
    <xdr:to>
      <xdr:col>47</xdr:col>
      <xdr:colOff>0</xdr:colOff>
      <xdr:row>25</xdr:row>
      <xdr:rowOff>0</xdr:rowOff>
    </xdr:to>
    <xdr:graphicFrame macro="">
      <xdr:nvGraphicFramePr>
        <xdr:cNvPr id="27" name="グラフ 26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895401</xdr:colOff>
      <xdr:row>2</xdr:row>
      <xdr:rowOff>55583</xdr:rowOff>
    </xdr:from>
    <xdr:to>
      <xdr:col>7</xdr:col>
      <xdr:colOff>336533</xdr:colOff>
      <xdr:row>22</xdr:row>
      <xdr:rowOff>55583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</xdr:col>
      <xdr:colOff>0</xdr:colOff>
      <xdr:row>27</xdr:row>
      <xdr:rowOff>0</xdr:rowOff>
    </xdr:from>
    <xdr:to>
      <xdr:col>13</xdr:col>
      <xdr:colOff>354724</xdr:colOff>
      <xdr:row>47</xdr:row>
      <xdr:rowOff>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0</xdr:colOff>
      <xdr:row>49</xdr:row>
      <xdr:rowOff>0</xdr:rowOff>
    </xdr:from>
    <xdr:to>
      <xdr:col>13</xdr:col>
      <xdr:colOff>354724</xdr:colOff>
      <xdr:row>69</xdr:row>
      <xdr:rowOff>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16</xdr:col>
      <xdr:colOff>170794</xdr:colOff>
      <xdr:row>16</xdr:row>
      <xdr:rowOff>72259</xdr:rowOff>
    </xdr:from>
    <xdr:to>
      <xdr:col>26</xdr:col>
      <xdr:colOff>170794</xdr:colOff>
      <xdr:row>36</xdr:row>
      <xdr:rowOff>72259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0</xdr:colOff>
      <xdr:row>27</xdr:row>
      <xdr:rowOff>0</xdr:rowOff>
    </xdr:from>
    <xdr:to>
      <xdr:col>25</xdr:col>
      <xdr:colOff>0</xdr:colOff>
      <xdr:row>47</xdr:row>
      <xdr:rowOff>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0</xdr:colOff>
      <xdr:row>49</xdr:row>
      <xdr:rowOff>0</xdr:rowOff>
    </xdr:from>
    <xdr:to>
      <xdr:col>25</xdr:col>
      <xdr:colOff>0</xdr:colOff>
      <xdr:row>69</xdr:row>
      <xdr:rowOff>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26</xdr:col>
      <xdr:colOff>0</xdr:colOff>
      <xdr:row>5</xdr:row>
      <xdr:rowOff>0</xdr:rowOff>
    </xdr:from>
    <xdr:to>
      <xdr:col>35</xdr:col>
      <xdr:colOff>354724</xdr:colOff>
      <xdr:row>25</xdr:row>
      <xdr:rowOff>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26</xdr:col>
      <xdr:colOff>0</xdr:colOff>
      <xdr:row>27</xdr:row>
      <xdr:rowOff>0</xdr:rowOff>
    </xdr:from>
    <xdr:to>
      <xdr:col>35</xdr:col>
      <xdr:colOff>354724</xdr:colOff>
      <xdr:row>47</xdr:row>
      <xdr:rowOff>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26</xdr:col>
      <xdr:colOff>0</xdr:colOff>
      <xdr:row>49</xdr:row>
      <xdr:rowOff>0</xdr:rowOff>
    </xdr:from>
    <xdr:to>
      <xdr:col>35</xdr:col>
      <xdr:colOff>354724</xdr:colOff>
      <xdr:row>69</xdr:row>
      <xdr:rowOff>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9</xdr:col>
      <xdr:colOff>141107</xdr:colOff>
      <xdr:row>2</xdr:row>
      <xdr:rowOff>1252</xdr:rowOff>
    </xdr:from>
    <xdr:to>
      <xdr:col>22</xdr:col>
      <xdr:colOff>182880</xdr:colOff>
      <xdr:row>22</xdr:row>
      <xdr:rowOff>52252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6770664-5FB1-4EE8-9796-40BB3411E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00"/>
  <sheetViews>
    <sheetView zoomScale="220" zoomScaleNormal="220" workbookViewId="0">
      <selection activeCell="A4" sqref="A4"/>
    </sheetView>
  </sheetViews>
  <sheetFormatPr defaultColWidth="4.625" defaultRowHeight="13.5"/>
  <cols>
    <col min="1" max="1" width="9" bestFit="1" customWidth="1"/>
  </cols>
  <sheetData>
    <row r="1" spans="1:29">
      <c r="A1" t="str">
        <f ca="1">MID(CELL("filename",A1),FIND("]",CELL("filename",A1))+1,LEN(CELL("filename",A1)))</f>
        <v>Sheet</v>
      </c>
      <c r="X1" t="str">
        <f ca="1">MID(CELL("filename",X1),FIND("]",CELL("filename",X1))+1,30)</f>
        <v>Sheet</v>
      </c>
    </row>
    <row r="2" spans="1:29">
      <c r="A2" t="str">
        <f ca="1">MID(CELL("filename",A2),FIND("]",CELL("filename",A2))+1,LEN(CELL("filename",A2)))</f>
        <v>Sheet</v>
      </c>
    </row>
    <row r="3" spans="1:29" ht="13.15" customHeight="1">
      <c r="A3" t="str">
        <f ca="1">MID(CELL("filename",A3),FIND("]",CELL("filename",A3))+1,LEN(CELL("filename",A3)))</f>
        <v>Sheet</v>
      </c>
    </row>
    <row r="4" spans="1:29" ht="13.15" customHeight="1"/>
    <row r="5" spans="1:29" ht="13.15" customHeight="1"/>
    <row r="6" spans="1:29" ht="13.15" customHeight="1">
      <c r="A6" s="7" t="str">
        <f ca="1">RIGHT(CELL("filename",A1),LEN(CELL("filename",A1))-FIND("]",CELL("filename",A1)))</f>
        <v>Sheet</v>
      </c>
      <c r="U6" s="5"/>
    </row>
    <row r="7" spans="1:29" ht="13.15" customHeight="1">
      <c r="A7" s="7" t="str">
        <f ca="1">MID(CELL("filename",A2),FIND("[",CELL("filename",A2))+1,FIND("]",CELL("filename",A2))-(FIND("[",CELL("filename",A2))+1))</f>
        <v>グラフ編雁E20201116.xlsm</v>
      </c>
    </row>
    <row r="8" spans="1:29" ht="13.15" customHeight="1">
      <c r="A8" t="str">
        <f ca="1">MID(CELL("filename",A2),1,FIND("[",CELL("filename",A2))-2)</f>
        <v>Z:\Documsnts\asciidoc\asciidoc\excel</v>
      </c>
      <c r="R8" s="6"/>
    </row>
    <row r="9" spans="1:29" ht="13.15" customHeight="1">
      <c r="AA9" t="s">
        <v>4</v>
      </c>
    </row>
    <row r="10" spans="1:29" ht="13.15" customHeight="1">
      <c r="A10" t="str">
        <f ca="1">LEFT(CELL("filename",A2),FIND("[",CELL("filename",A2))-2)</f>
        <v>Z:\Documsnts\asciidoc\asciidoc\excel</v>
      </c>
    </row>
    <row r="11" spans="1:29" ht="13.15" customHeight="1">
      <c r="AB11" t="s">
        <v>0</v>
      </c>
      <c r="AC11" t="s">
        <v>1</v>
      </c>
    </row>
    <row r="12" spans="1:29" ht="13.15" customHeight="1">
      <c r="A12" t="s">
        <v>233</v>
      </c>
      <c r="AA12">
        <v>1</v>
      </c>
      <c r="AB12">
        <v>444</v>
      </c>
      <c r="AC12">
        <v>222</v>
      </c>
    </row>
    <row r="13" spans="1:29" ht="13.15" customHeight="1">
      <c r="AA13">
        <v>2</v>
      </c>
      <c r="AB13">
        <v>400</v>
      </c>
      <c r="AC13">
        <v>333</v>
      </c>
    </row>
    <row r="14" spans="1:29" ht="13.15" customHeight="1">
      <c r="A14" t="e">
        <f>RIGHT(A12,FIND("\",A12,LEN(A12)))</f>
        <v>#VALUE!</v>
      </c>
      <c r="AA14">
        <v>3</v>
      </c>
      <c r="AB14">
        <v>555</v>
      </c>
      <c r="AC14">
        <v>444</v>
      </c>
    </row>
    <row r="15" spans="1:29" ht="13.15" customHeight="1"/>
    <row r="16" spans="1:29" ht="13.15" customHeight="1"/>
    <row r="17" spans="26:27" ht="13.15" customHeight="1"/>
    <row r="18" spans="26:27" ht="13.15" customHeight="1"/>
    <row r="19" spans="26:27" ht="13.15" customHeight="1"/>
    <row r="20" spans="26:27" ht="13.15" customHeight="1"/>
    <row r="21" spans="26:27" ht="13.15" customHeight="1"/>
    <row r="22" spans="26:27" ht="13.15" customHeight="1"/>
    <row r="23" spans="26:27" ht="13.15" customHeight="1">
      <c r="Z23">
        <v>16</v>
      </c>
      <c r="AA23">
        <f>Z23^2</f>
        <v>256</v>
      </c>
    </row>
    <row r="24" spans="26:27" ht="13.15" customHeight="1">
      <c r="Z24">
        <f>SQRT(AA24)</f>
        <v>11.313708498984761</v>
      </c>
      <c r="AA24">
        <f>AA23/2</f>
        <v>128</v>
      </c>
    </row>
    <row r="25" spans="26:27" ht="13.15" customHeight="1">
      <c r="Z25">
        <f>SQRT(AA25)</f>
        <v>11.313708498984761</v>
      </c>
      <c r="AA25">
        <f>AA23/2</f>
        <v>128</v>
      </c>
    </row>
    <row r="26" spans="26:27" ht="13.15" customHeight="1"/>
    <row r="27" spans="26:27" ht="13.15" customHeight="1">
      <c r="Z27">
        <v>20</v>
      </c>
      <c r="AA27">
        <f>Z27^2</f>
        <v>400</v>
      </c>
    </row>
    <row r="28" spans="26:27" ht="13.15" customHeight="1">
      <c r="Z28">
        <f>SQRT(AA28)</f>
        <v>14.142135623730951</v>
      </c>
      <c r="AA28">
        <f>AA27/2</f>
        <v>200</v>
      </c>
    </row>
    <row r="29" spans="26:27" ht="13.15" customHeight="1">
      <c r="Z29">
        <f>SQRT(AA29)</f>
        <v>14.142135623730951</v>
      </c>
      <c r="AA29">
        <f>AA27/2</f>
        <v>200</v>
      </c>
    </row>
    <row r="30" spans="26:27" ht="13.15" customHeight="1"/>
    <row r="31" spans="26:27" ht="13.15" customHeight="1"/>
    <row r="32" spans="26:27" ht="13.15" customHeight="1"/>
    <row r="33" spans="30:30" ht="13.15" customHeight="1"/>
    <row r="34" spans="30:30" ht="13.15" customHeight="1">
      <c r="AD34" t="s">
        <v>5</v>
      </c>
    </row>
    <row r="35" spans="30:30" ht="13.15" customHeight="1"/>
    <row r="36" spans="30:30" ht="13.15" customHeight="1"/>
    <row r="37" spans="30:30" ht="13.15" customHeight="1"/>
    <row r="38" spans="30:30" ht="13.15" customHeight="1"/>
    <row r="39" spans="30:30" ht="13.15" customHeight="1"/>
    <row r="40" spans="30:30" ht="13.15" customHeight="1"/>
    <row r="41" spans="30:30" ht="13.15" customHeight="1"/>
    <row r="42" spans="30:30" ht="13.15" customHeight="1"/>
    <row r="43" spans="30:30" ht="13.15" customHeight="1"/>
    <row r="44" spans="30:30" ht="13.15" customHeight="1"/>
    <row r="45" spans="30:30" ht="13.15" customHeight="1"/>
    <row r="46" spans="30:30" ht="13.15" customHeight="1"/>
    <row r="47" spans="30:30" ht="13.15" customHeight="1"/>
    <row r="48" spans="30:30" ht="13.15" customHeight="1"/>
    <row r="49" spans="35:45" ht="13.15" customHeight="1"/>
    <row r="50" spans="35:45" ht="13.15" customHeight="1"/>
    <row r="51" spans="35:45" ht="13.15" customHeight="1"/>
    <row r="52" spans="35:45" ht="13.15" customHeight="1"/>
    <row r="53" spans="35:45" ht="13.15" customHeight="1">
      <c r="AI53" t="s">
        <v>3</v>
      </c>
    </row>
    <row r="54" spans="35:45" ht="13.15" customHeight="1">
      <c r="AM54" t="s">
        <v>2</v>
      </c>
    </row>
    <row r="55" spans="35:45" ht="13.15" customHeight="1"/>
    <row r="56" spans="35:45" ht="13.15" customHeight="1"/>
    <row r="57" spans="35:45" ht="13.15" customHeight="1"/>
    <row r="58" spans="35:45" ht="13.15" customHeight="1"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35:45" ht="13.15" customHeight="1"/>
    <row r="60" spans="35:45" ht="13.15" customHeight="1"/>
    <row r="61" spans="35:45" ht="13.15" customHeight="1"/>
    <row r="62" spans="35:45" ht="13.15" customHeight="1"/>
    <row r="63" spans="35:45" ht="13.15" customHeight="1"/>
    <row r="64" spans="35:45" ht="13.15" customHeight="1"/>
    <row r="65" ht="13.15" customHeight="1"/>
    <row r="66" ht="13.15" customHeight="1"/>
    <row r="67" ht="13.15" customHeight="1"/>
    <row r="68" ht="13.15" customHeight="1"/>
    <row r="69" ht="13.15" customHeight="1"/>
    <row r="70" ht="13.15" customHeight="1"/>
    <row r="71" ht="13.15" customHeight="1"/>
    <row r="72" ht="13.15" customHeight="1"/>
    <row r="73" ht="13.15" customHeight="1"/>
    <row r="74" ht="13.15" customHeight="1"/>
    <row r="75" ht="13.15" customHeight="1"/>
    <row r="76" ht="13.15" customHeight="1"/>
    <row r="77" ht="13.15" customHeight="1"/>
    <row r="78" ht="13.15" customHeight="1"/>
    <row r="79" ht="13.15" customHeight="1"/>
    <row r="80" ht="13.15" customHeight="1"/>
    <row r="81" ht="13.15" customHeight="1"/>
    <row r="82" ht="13.15" customHeight="1"/>
    <row r="83" ht="13.15" customHeight="1"/>
    <row r="84" ht="13.15" customHeight="1"/>
    <row r="85" ht="13.15" customHeight="1"/>
    <row r="86" ht="13.15" customHeight="1"/>
    <row r="87" ht="13.15" customHeight="1"/>
    <row r="88" ht="13.15" customHeight="1"/>
    <row r="89" ht="13.15" customHeight="1"/>
    <row r="90" ht="13.15" customHeight="1"/>
    <row r="91" ht="13.15" customHeight="1"/>
    <row r="92" ht="13.15" customHeight="1"/>
    <row r="93" ht="13.15" customHeight="1"/>
    <row r="94" ht="13.15" customHeight="1"/>
    <row r="95" ht="13.15" customHeight="1"/>
    <row r="96" ht="13.15" customHeight="1"/>
    <row r="97" ht="13.15" customHeight="1"/>
    <row r="98" ht="13.15" customHeight="1"/>
    <row r="99" ht="13.15" customHeight="1"/>
    <row r="100" ht="13.15" customHeight="1"/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80"/>
  <sheetViews>
    <sheetView zoomScale="295" zoomScaleNormal="295" workbookViewId="0"/>
  </sheetViews>
  <sheetFormatPr defaultRowHeight="13.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v>4</v>
      </c>
    </row>
    <row r="5" spans="1:1">
      <c r="A5">
        <v>5</v>
      </c>
    </row>
    <row r="6" spans="1:1">
      <c r="A6">
        <v>6</v>
      </c>
    </row>
    <row r="7" spans="1:1">
      <c r="A7">
        <v>7</v>
      </c>
    </row>
    <row r="8" spans="1:1">
      <c r="A8">
        <v>8</v>
      </c>
    </row>
    <row r="9" spans="1:1">
      <c r="A9">
        <v>9</v>
      </c>
    </row>
    <row r="10" spans="1:1">
      <c r="A10">
        <v>10</v>
      </c>
    </row>
    <row r="11" spans="1:1">
      <c r="A11">
        <v>11</v>
      </c>
    </row>
    <row r="12" spans="1:1">
      <c r="A12">
        <v>12</v>
      </c>
    </row>
    <row r="13" spans="1:1">
      <c r="A13">
        <v>13</v>
      </c>
    </row>
    <row r="14" spans="1:1">
      <c r="A14">
        <v>14</v>
      </c>
    </row>
    <row r="15" spans="1:1">
      <c r="A15">
        <v>15</v>
      </c>
    </row>
    <row r="16" spans="1:1">
      <c r="A16">
        <v>16</v>
      </c>
    </row>
    <row r="17" spans="1:1">
      <c r="A17">
        <v>17</v>
      </c>
    </row>
    <row r="18" spans="1:1">
      <c r="A18">
        <v>18</v>
      </c>
    </row>
    <row r="19" spans="1:1">
      <c r="A19">
        <v>19</v>
      </c>
    </row>
    <row r="20" spans="1:1">
      <c r="A20">
        <v>20</v>
      </c>
    </row>
    <row r="21" spans="1:1">
      <c r="A21">
        <v>21</v>
      </c>
    </row>
    <row r="22" spans="1:1">
      <c r="A22">
        <v>22</v>
      </c>
    </row>
    <row r="23" spans="1:1">
      <c r="A23">
        <v>23</v>
      </c>
    </row>
    <row r="24" spans="1:1">
      <c r="A24">
        <v>24</v>
      </c>
    </row>
    <row r="25" spans="1:1">
      <c r="A25">
        <v>25</v>
      </c>
    </row>
    <row r="26" spans="1:1">
      <c r="A26">
        <v>26</v>
      </c>
    </row>
    <row r="27" spans="1:1">
      <c r="A27">
        <v>27</v>
      </c>
    </row>
    <row r="28" spans="1:1">
      <c r="A28">
        <v>28</v>
      </c>
    </row>
    <row r="29" spans="1:1">
      <c r="A29">
        <v>29</v>
      </c>
    </row>
    <row r="30" spans="1:1">
      <c r="A30">
        <v>30</v>
      </c>
    </row>
    <row r="31" spans="1:1">
      <c r="A31">
        <v>31</v>
      </c>
    </row>
    <row r="32" spans="1:1">
      <c r="A32">
        <v>32</v>
      </c>
    </row>
    <row r="33" spans="1:1">
      <c r="A33">
        <v>33</v>
      </c>
    </row>
    <row r="34" spans="1:1">
      <c r="A34">
        <v>34</v>
      </c>
    </row>
    <row r="35" spans="1:1">
      <c r="A35">
        <v>35</v>
      </c>
    </row>
    <row r="36" spans="1:1">
      <c r="A36">
        <v>36</v>
      </c>
    </row>
    <row r="37" spans="1:1">
      <c r="A37">
        <v>37</v>
      </c>
    </row>
    <row r="38" spans="1:1">
      <c r="A38">
        <v>38</v>
      </c>
    </row>
    <row r="39" spans="1:1">
      <c r="A39">
        <v>39</v>
      </c>
    </row>
    <row r="40" spans="1:1">
      <c r="A40">
        <v>40</v>
      </c>
    </row>
    <row r="41" spans="1:1">
      <c r="A41">
        <v>41</v>
      </c>
    </row>
    <row r="42" spans="1:1">
      <c r="A42">
        <v>42</v>
      </c>
    </row>
    <row r="43" spans="1:1">
      <c r="A43">
        <v>43</v>
      </c>
    </row>
    <row r="44" spans="1:1">
      <c r="A44">
        <v>44</v>
      </c>
    </row>
    <row r="45" spans="1:1">
      <c r="A45">
        <v>45</v>
      </c>
    </row>
    <row r="46" spans="1:1">
      <c r="A46">
        <v>46</v>
      </c>
    </row>
    <row r="47" spans="1:1">
      <c r="A47">
        <v>47</v>
      </c>
    </row>
    <row r="48" spans="1:1">
      <c r="A48">
        <v>48</v>
      </c>
    </row>
    <row r="49" spans="1:1">
      <c r="A49">
        <v>49</v>
      </c>
    </row>
    <row r="50" spans="1:1">
      <c r="A50">
        <v>50</v>
      </c>
    </row>
    <row r="51" spans="1:1">
      <c r="A51">
        <v>51</v>
      </c>
    </row>
    <row r="52" spans="1:1">
      <c r="A52">
        <v>52</v>
      </c>
    </row>
    <row r="53" spans="1:1">
      <c r="A53">
        <v>53</v>
      </c>
    </row>
    <row r="54" spans="1:1">
      <c r="A54">
        <v>54</v>
      </c>
    </row>
    <row r="55" spans="1:1">
      <c r="A55">
        <v>55</v>
      </c>
    </row>
    <row r="56" spans="1:1">
      <c r="A56">
        <v>56</v>
      </c>
    </row>
    <row r="57" spans="1:1">
      <c r="A57">
        <v>57</v>
      </c>
    </row>
    <row r="58" spans="1:1">
      <c r="A58">
        <v>58</v>
      </c>
    </row>
    <row r="59" spans="1:1">
      <c r="A59">
        <v>59</v>
      </c>
    </row>
    <row r="60" spans="1:1">
      <c r="A60">
        <v>60</v>
      </c>
    </row>
    <row r="61" spans="1:1">
      <c r="A61">
        <v>61</v>
      </c>
    </row>
    <row r="62" spans="1:1">
      <c r="A62">
        <v>62</v>
      </c>
    </row>
    <row r="63" spans="1:1">
      <c r="A63">
        <v>63</v>
      </c>
    </row>
    <row r="64" spans="1:1">
      <c r="A64">
        <v>64</v>
      </c>
    </row>
    <row r="65" spans="1:1">
      <c r="A65">
        <v>65</v>
      </c>
    </row>
    <row r="66" spans="1:1">
      <c r="A66">
        <v>66</v>
      </c>
    </row>
    <row r="67" spans="1:1">
      <c r="A67">
        <v>67</v>
      </c>
    </row>
    <row r="68" spans="1:1">
      <c r="A68">
        <v>68</v>
      </c>
    </row>
    <row r="69" spans="1:1">
      <c r="A69">
        <v>69</v>
      </c>
    </row>
    <row r="70" spans="1:1">
      <c r="A70">
        <v>70</v>
      </c>
    </row>
    <row r="71" spans="1:1">
      <c r="A71">
        <v>71</v>
      </c>
    </row>
    <row r="72" spans="1:1">
      <c r="A72">
        <v>72</v>
      </c>
    </row>
    <row r="73" spans="1:1">
      <c r="A73">
        <v>73</v>
      </c>
    </row>
    <row r="74" spans="1:1">
      <c r="A74">
        <v>74</v>
      </c>
    </row>
    <row r="75" spans="1:1">
      <c r="A75">
        <v>75</v>
      </c>
    </row>
    <row r="76" spans="1:1">
      <c r="A76">
        <v>76</v>
      </c>
    </row>
    <row r="77" spans="1:1">
      <c r="A77">
        <v>77</v>
      </c>
    </row>
    <row r="78" spans="1:1">
      <c r="A78">
        <v>78</v>
      </c>
    </row>
    <row r="79" spans="1:1">
      <c r="A79">
        <v>79</v>
      </c>
    </row>
    <row r="80" spans="1:1">
      <c r="A80">
        <v>80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Y137"/>
  <sheetViews>
    <sheetView tabSelected="1" view="pageBreakPreview" zoomScale="55" zoomScaleNormal="55" zoomScaleSheetLayoutView="55" workbookViewId="0">
      <selection activeCell="AP11" sqref="AP11"/>
    </sheetView>
  </sheetViews>
  <sheetFormatPr defaultRowHeight="13.5"/>
  <cols>
    <col min="1" max="1" width="12.875" bestFit="1" customWidth="1"/>
    <col min="4" max="4" width="9.25" bestFit="1" customWidth="1"/>
    <col min="5" max="47" width="4.625" customWidth="1"/>
  </cols>
  <sheetData>
    <row r="1" spans="1:19">
      <c r="A1" t="str">
        <f ca="1">MID(CELL("filename",A1),FIND("]",CELL("filename",A1))+1,30)</f>
        <v>お試し</v>
      </c>
    </row>
    <row r="2" spans="1:19">
      <c r="A2" s="2" t="s">
        <v>212</v>
      </c>
    </row>
    <row r="3" spans="1:19">
      <c r="A3" t="s">
        <v>213</v>
      </c>
    </row>
    <row r="4" spans="1:19">
      <c r="A4" t="s">
        <v>214</v>
      </c>
    </row>
    <row r="5" spans="1:19">
      <c r="A5" t="s">
        <v>215</v>
      </c>
    </row>
    <row r="6" spans="1:19">
      <c r="A6" t="s">
        <v>216</v>
      </c>
    </row>
    <row r="9" spans="1:19">
      <c r="D9" t="s">
        <v>4</v>
      </c>
    </row>
    <row r="11" spans="1:19">
      <c r="E11" t="s">
        <v>0</v>
      </c>
      <c r="F11" t="s">
        <v>1</v>
      </c>
      <c r="I11" t="s">
        <v>11</v>
      </c>
      <c r="J11" t="s">
        <v>6</v>
      </c>
      <c r="K11" t="s">
        <v>10</v>
      </c>
      <c r="L11" t="s">
        <v>7</v>
      </c>
      <c r="M11" t="s">
        <v>8</v>
      </c>
      <c r="N11" t="s">
        <v>9</v>
      </c>
      <c r="O11" t="s">
        <v>12</v>
      </c>
      <c r="P11" t="s">
        <v>13</v>
      </c>
      <c r="Q11" t="s">
        <v>14</v>
      </c>
      <c r="R11" t="s">
        <v>15</v>
      </c>
      <c r="S11" t="s">
        <v>16</v>
      </c>
    </row>
    <row r="12" spans="1:19">
      <c r="D12">
        <v>1</v>
      </c>
      <c r="E12">
        <v>444</v>
      </c>
      <c r="F12">
        <v>222</v>
      </c>
      <c r="H12">
        <v>1</v>
      </c>
      <c r="I12">
        <v>10</v>
      </c>
      <c r="J12">
        <f t="shared" ref="J12:S21" ca="1" si="0">INT(RAND()* 100)</f>
        <v>17</v>
      </c>
      <c r="K12">
        <f t="shared" ca="1" si="0"/>
        <v>86</v>
      </c>
      <c r="L12">
        <f t="shared" ca="1" si="0"/>
        <v>97</v>
      </c>
      <c r="M12">
        <f t="shared" ca="1" si="0"/>
        <v>69</v>
      </c>
      <c r="N12">
        <f t="shared" ca="1" si="0"/>
        <v>63</v>
      </c>
      <c r="O12">
        <f t="shared" ca="1" si="0"/>
        <v>27</v>
      </c>
      <c r="P12">
        <f t="shared" ca="1" si="0"/>
        <v>54</v>
      </c>
      <c r="Q12">
        <f t="shared" ca="1" si="0"/>
        <v>56</v>
      </c>
      <c r="R12">
        <f t="shared" ca="1" si="0"/>
        <v>21</v>
      </c>
      <c r="S12">
        <f t="shared" ca="1" si="0"/>
        <v>60</v>
      </c>
    </row>
    <row r="13" spans="1:19">
      <c r="D13">
        <v>2</v>
      </c>
      <c r="E13">
        <v>400</v>
      </c>
      <c r="F13">
        <v>333</v>
      </c>
      <c r="H13">
        <v>2</v>
      </c>
      <c r="I13">
        <v>10</v>
      </c>
      <c r="J13">
        <f t="shared" ca="1" si="0"/>
        <v>30</v>
      </c>
      <c r="K13">
        <f t="shared" ca="1" si="0"/>
        <v>2</v>
      </c>
      <c r="L13">
        <f t="shared" ca="1" si="0"/>
        <v>32</v>
      </c>
      <c r="M13">
        <f t="shared" ca="1" si="0"/>
        <v>99</v>
      </c>
      <c r="N13">
        <f t="shared" ca="1" si="0"/>
        <v>46</v>
      </c>
      <c r="O13">
        <f t="shared" ca="1" si="0"/>
        <v>78</v>
      </c>
      <c r="P13">
        <f t="shared" ca="1" si="0"/>
        <v>22</v>
      </c>
      <c r="Q13">
        <f t="shared" ca="1" si="0"/>
        <v>14</v>
      </c>
      <c r="R13">
        <f t="shared" ca="1" si="0"/>
        <v>81</v>
      </c>
      <c r="S13">
        <f t="shared" ca="1" si="0"/>
        <v>98</v>
      </c>
    </row>
    <row r="14" spans="1:19">
      <c r="D14">
        <v>3</v>
      </c>
      <c r="E14">
        <v>555</v>
      </c>
      <c r="F14">
        <v>444</v>
      </c>
      <c r="H14">
        <v>3</v>
      </c>
      <c r="I14">
        <v>10</v>
      </c>
      <c r="J14">
        <f t="shared" ca="1" si="0"/>
        <v>20</v>
      </c>
      <c r="K14">
        <f t="shared" ca="1" si="0"/>
        <v>62</v>
      </c>
      <c r="L14">
        <f t="shared" ca="1" si="0"/>
        <v>89</v>
      </c>
      <c r="M14">
        <f t="shared" ca="1" si="0"/>
        <v>70</v>
      </c>
      <c r="N14">
        <f t="shared" ca="1" si="0"/>
        <v>69</v>
      </c>
      <c r="O14">
        <f t="shared" ca="1" si="0"/>
        <v>56</v>
      </c>
      <c r="P14">
        <f t="shared" ca="1" si="0"/>
        <v>66</v>
      </c>
      <c r="Q14">
        <f t="shared" ca="1" si="0"/>
        <v>82</v>
      </c>
      <c r="R14">
        <f t="shared" ca="1" si="0"/>
        <v>4</v>
      </c>
      <c r="S14">
        <f t="shared" ca="1" si="0"/>
        <v>75</v>
      </c>
    </row>
    <row r="15" spans="1:19">
      <c r="H15">
        <v>4</v>
      </c>
      <c r="I15">
        <v>10</v>
      </c>
      <c r="J15">
        <f t="shared" ca="1" si="0"/>
        <v>60</v>
      </c>
      <c r="K15">
        <f t="shared" ca="1" si="0"/>
        <v>70</v>
      </c>
      <c r="L15">
        <f t="shared" ca="1" si="0"/>
        <v>55</v>
      </c>
      <c r="M15">
        <f t="shared" ca="1" si="0"/>
        <v>14</v>
      </c>
      <c r="N15">
        <f t="shared" ca="1" si="0"/>
        <v>48</v>
      </c>
      <c r="O15">
        <f t="shared" ca="1" si="0"/>
        <v>22</v>
      </c>
      <c r="P15">
        <f t="shared" ca="1" si="0"/>
        <v>51</v>
      </c>
      <c r="Q15">
        <f t="shared" ca="1" si="0"/>
        <v>3</v>
      </c>
      <c r="R15">
        <f t="shared" ca="1" si="0"/>
        <v>24</v>
      </c>
      <c r="S15">
        <f t="shared" ca="1" si="0"/>
        <v>18</v>
      </c>
    </row>
    <row r="16" spans="1:19">
      <c r="H16">
        <v>5</v>
      </c>
      <c r="I16">
        <v>10</v>
      </c>
      <c r="J16">
        <f t="shared" ca="1" si="0"/>
        <v>72</v>
      </c>
      <c r="K16">
        <f t="shared" ca="1" si="0"/>
        <v>54</v>
      </c>
      <c r="L16">
        <f t="shared" ca="1" si="0"/>
        <v>44</v>
      </c>
      <c r="M16">
        <f t="shared" ca="1" si="0"/>
        <v>14</v>
      </c>
      <c r="N16">
        <f t="shared" ca="1" si="0"/>
        <v>70</v>
      </c>
      <c r="O16">
        <f t="shared" ca="1" si="0"/>
        <v>54</v>
      </c>
      <c r="P16">
        <f t="shared" ca="1" si="0"/>
        <v>14</v>
      </c>
      <c r="Q16">
        <f t="shared" ca="1" si="0"/>
        <v>19</v>
      </c>
      <c r="R16">
        <f t="shared" ca="1" si="0"/>
        <v>69</v>
      </c>
      <c r="S16">
        <f t="shared" ca="1" si="0"/>
        <v>23</v>
      </c>
    </row>
    <row r="17" spans="3:25">
      <c r="H17">
        <v>6</v>
      </c>
      <c r="I17">
        <v>10</v>
      </c>
      <c r="J17">
        <f t="shared" ca="1" si="0"/>
        <v>3</v>
      </c>
      <c r="K17">
        <f t="shared" ca="1" si="0"/>
        <v>83</v>
      </c>
      <c r="L17">
        <f t="shared" ca="1" si="0"/>
        <v>5</v>
      </c>
      <c r="M17">
        <f t="shared" ca="1" si="0"/>
        <v>85</v>
      </c>
      <c r="N17">
        <f t="shared" ca="1" si="0"/>
        <v>67</v>
      </c>
      <c r="O17">
        <f t="shared" ca="1" si="0"/>
        <v>97</v>
      </c>
      <c r="P17">
        <f t="shared" ca="1" si="0"/>
        <v>79</v>
      </c>
      <c r="Q17">
        <f t="shared" ca="1" si="0"/>
        <v>59</v>
      </c>
      <c r="R17">
        <f t="shared" ca="1" si="0"/>
        <v>28</v>
      </c>
      <c r="S17">
        <f t="shared" ca="1" si="0"/>
        <v>97</v>
      </c>
    </row>
    <row r="18" spans="3:25">
      <c r="H18">
        <v>7</v>
      </c>
      <c r="I18">
        <v>10</v>
      </c>
      <c r="J18">
        <f t="shared" ca="1" si="0"/>
        <v>57</v>
      </c>
      <c r="K18">
        <f t="shared" ca="1" si="0"/>
        <v>53</v>
      </c>
      <c r="L18">
        <f t="shared" ca="1" si="0"/>
        <v>59</v>
      </c>
      <c r="M18">
        <f t="shared" ca="1" si="0"/>
        <v>64</v>
      </c>
      <c r="N18">
        <f t="shared" ca="1" si="0"/>
        <v>61</v>
      </c>
      <c r="O18">
        <f t="shared" ca="1" si="0"/>
        <v>81</v>
      </c>
      <c r="P18">
        <f t="shared" ca="1" si="0"/>
        <v>85</v>
      </c>
      <c r="Q18">
        <f t="shared" ca="1" si="0"/>
        <v>43</v>
      </c>
      <c r="R18">
        <f t="shared" ca="1" si="0"/>
        <v>67</v>
      </c>
      <c r="S18">
        <f t="shared" ca="1" si="0"/>
        <v>2</v>
      </c>
    </row>
    <row r="19" spans="3:25">
      <c r="H19">
        <v>8</v>
      </c>
      <c r="I19">
        <v>10</v>
      </c>
      <c r="J19">
        <f t="shared" ca="1" si="0"/>
        <v>72</v>
      </c>
      <c r="K19">
        <f t="shared" ca="1" si="0"/>
        <v>56</v>
      </c>
      <c r="L19">
        <f t="shared" ca="1" si="0"/>
        <v>14</v>
      </c>
      <c r="M19">
        <f t="shared" ca="1" si="0"/>
        <v>28</v>
      </c>
      <c r="N19">
        <f t="shared" ca="1" si="0"/>
        <v>88</v>
      </c>
      <c r="O19">
        <f t="shared" ca="1" si="0"/>
        <v>6</v>
      </c>
      <c r="P19">
        <f t="shared" ca="1" si="0"/>
        <v>21</v>
      </c>
      <c r="Q19">
        <f t="shared" ca="1" si="0"/>
        <v>35</v>
      </c>
      <c r="R19">
        <f t="shared" ca="1" si="0"/>
        <v>8</v>
      </c>
      <c r="S19">
        <f t="shared" ca="1" si="0"/>
        <v>54</v>
      </c>
    </row>
    <row r="20" spans="3:25">
      <c r="H20">
        <v>9</v>
      </c>
      <c r="I20">
        <v>10</v>
      </c>
      <c r="J20">
        <f t="shared" ca="1" si="0"/>
        <v>21</v>
      </c>
      <c r="K20">
        <f t="shared" ca="1" si="0"/>
        <v>28</v>
      </c>
      <c r="L20">
        <f t="shared" ca="1" si="0"/>
        <v>95</v>
      </c>
      <c r="M20">
        <f t="shared" ca="1" si="0"/>
        <v>0</v>
      </c>
      <c r="N20">
        <f t="shared" ca="1" si="0"/>
        <v>23</v>
      </c>
      <c r="O20">
        <f t="shared" ca="1" si="0"/>
        <v>93</v>
      </c>
      <c r="P20">
        <f t="shared" ca="1" si="0"/>
        <v>20</v>
      </c>
      <c r="Q20">
        <f t="shared" ca="1" si="0"/>
        <v>47</v>
      </c>
      <c r="R20">
        <f t="shared" ca="1" si="0"/>
        <v>97</v>
      </c>
    </row>
    <row r="21" spans="3:25">
      <c r="H21">
        <v>10</v>
      </c>
      <c r="I21">
        <v>10</v>
      </c>
      <c r="J21">
        <f t="shared" ca="1" si="0"/>
        <v>16</v>
      </c>
      <c r="K21">
        <f t="shared" ca="1" si="0"/>
        <v>62</v>
      </c>
      <c r="L21">
        <f t="shared" ca="1" si="0"/>
        <v>60</v>
      </c>
      <c r="M21">
        <f t="shared" ca="1" si="0"/>
        <v>55</v>
      </c>
      <c r="N21">
        <f t="shared" ca="1" si="0"/>
        <v>67</v>
      </c>
      <c r="O21">
        <f t="shared" ca="1" si="0"/>
        <v>94</v>
      </c>
      <c r="P21">
        <f t="shared" ca="1" si="0"/>
        <v>16</v>
      </c>
      <c r="Q21">
        <f t="shared" ca="1" si="0"/>
        <v>10</v>
      </c>
      <c r="R21">
        <f t="shared" ca="1" si="0"/>
        <v>29</v>
      </c>
      <c r="S21">
        <f t="shared" ca="1" si="0"/>
        <v>90</v>
      </c>
    </row>
    <row r="22" spans="3:25">
      <c r="D22" t="s">
        <v>17</v>
      </c>
    </row>
    <row r="23" spans="3:25">
      <c r="C23">
        <v>16</v>
      </c>
      <c r="D23">
        <f>C23^2</f>
        <v>256</v>
      </c>
    </row>
    <row r="24" spans="3:25">
      <c r="C24">
        <f>SQRT(D24)</f>
        <v>11.313708498984761</v>
      </c>
      <c r="D24">
        <f>D23/2</f>
        <v>128</v>
      </c>
    </row>
    <row r="25" spans="3:25">
      <c r="C25">
        <f>SQRT(D25)</f>
        <v>11.313708498984761</v>
      </c>
      <c r="D25">
        <f>D23/2</f>
        <v>128</v>
      </c>
      <c r="Y25">
        <v>1</v>
      </c>
    </row>
    <row r="27" spans="3:25">
      <c r="C27">
        <v>20</v>
      </c>
      <c r="D27">
        <f>C27^2</f>
        <v>400</v>
      </c>
    </row>
    <row r="28" spans="3:25">
      <c r="C28">
        <f>SQRT(D28)</f>
        <v>14.142135623730951</v>
      </c>
      <c r="D28">
        <f>D27/2</f>
        <v>200</v>
      </c>
      <c r="Y28">
        <v>1</v>
      </c>
    </row>
    <row r="29" spans="3:25">
      <c r="C29">
        <f>SQRT(D29)</f>
        <v>14.142135623730951</v>
      </c>
      <c r="D29">
        <f>D27/2</f>
        <v>200</v>
      </c>
    </row>
    <row r="58" spans="12:22">
      <c r="L58" s="1"/>
      <c r="M58" s="1"/>
      <c r="N58" s="1"/>
      <c r="O58" s="1"/>
      <c r="Q58" s="1"/>
      <c r="R58" s="1"/>
      <c r="S58" s="1"/>
      <c r="T58" s="1"/>
      <c r="U58" s="1"/>
      <c r="V58" s="1"/>
    </row>
    <row r="59" spans="12:22">
      <c r="P59" s="1"/>
    </row>
    <row r="133" spans="3:12">
      <c r="C133">
        <v>1</v>
      </c>
      <c r="D133">
        <v>2</v>
      </c>
      <c r="E133">
        <v>3</v>
      </c>
      <c r="F133">
        <v>4</v>
      </c>
      <c r="G133">
        <v>5</v>
      </c>
      <c r="H133">
        <v>6</v>
      </c>
      <c r="I133">
        <v>7</v>
      </c>
      <c r="J133">
        <v>8</v>
      </c>
      <c r="K133">
        <v>9</v>
      </c>
      <c r="L133">
        <v>10</v>
      </c>
    </row>
    <row r="134" spans="3:12">
      <c r="C134">
        <f t="shared" ref="C134:L134" si="1">SUM(C133:L133)</f>
        <v>55</v>
      </c>
      <c r="D134">
        <f t="shared" si="1"/>
        <v>54</v>
      </c>
      <c r="E134">
        <f t="shared" si="1"/>
        <v>52</v>
      </c>
      <c r="F134">
        <f t="shared" si="1"/>
        <v>49</v>
      </c>
      <c r="G134">
        <f t="shared" si="1"/>
        <v>45</v>
      </c>
      <c r="H134">
        <f t="shared" si="1"/>
        <v>40</v>
      </c>
      <c r="I134">
        <f t="shared" si="1"/>
        <v>34</v>
      </c>
      <c r="J134">
        <f t="shared" si="1"/>
        <v>27</v>
      </c>
      <c r="K134">
        <f t="shared" si="1"/>
        <v>19</v>
      </c>
      <c r="L134">
        <f t="shared" si="1"/>
        <v>10</v>
      </c>
    </row>
    <row r="136" spans="3:12">
      <c r="C136">
        <f>10*(10+1)/2</f>
        <v>55</v>
      </c>
      <c r="H136">
        <f>COUNTA(H$133:L133)*(L$133+H133)/2</f>
        <v>40</v>
      </c>
      <c r="I136">
        <f>COUNTA(I$133:L133)*(L$133+I133)/2</f>
        <v>34</v>
      </c>
    </row>
    <row r="137" spans="3:12">
      <c r="C137">
        <f t="shared" ref="C137:L137" si="2">(($L133-C133)+1)*($L133+C133)/2</f>
        <v>55</v>
      </c>
      <c r="D137">
        <f t="shared" si="2"/>
        <v>54</v>
      </c>
      <c r="E137">
        <f t="shared" si="2"/>
        <v>52</v>
      </c>
      <c r="F137">
        <f t="shared" si="2"/>
        <v>49</v>
      </c>
      <c r="G137">
        <f t="shared" si="2"/>
        <v>45</v>
      </c>
      <c r="H137">
        <f t="shared" si="2"/>
        <v>40</v>
      </c>
      <c r="I137">
        <f t="shared" si="2"/>
        <v>34</v>
      </c>
      <c r="J137">
        <f t="shared" si="2"/>
        <v>27</v>
      </c>
      <c r="K137">
        <f t="shared" si="2"/>
        <v>19</v>
      </c>
      <c r="L137">
        <f t="shared" si="2"/>
        <v>10</v>
      </c>
    </row>
  </sheetData>
  <sortState xmlns:xlrd2="http://schemas.microsoft.com/office/spreadsheetml/2017/richdata2" ref="Q27:Q36">
    <sortCondition ref="Q27"/>
  </sortState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49"/>
  <sheetViews>
    <sheetView zoomScale="175" zoomScaleNormal="175" workbookViewId="0">
      <selection activeCell="C6" sqref="C6"/>
    </sheetView>
  </sheetViews>
  <sheetFormatPr defaultRowHeight="13.5"/>
  <cols>
    <col min="1" max="1" width="17.125" bestFit="1" customWidth="1"/>
    <col min="2" max="2" width="16.125" bestFit="1" customWidth="1"/>
    <col min="3" max="3" width="22.5" bestFit="1" customWidth="1"/>
  </cols>
  <sheetData>
    <row r="1" spans="1:5">
      <c r="A1" t="s">
        <v>253</v>
      </c>
      <c r="B1" t="s">
        <v>307</v>
      </c>
      <c r="C1" t="s">
        <v>263</v>
      </c>
      <c r="D1" t="s">
        <v>264</v>
      </c>
      <c r="E1" t="s">
        <v>254</v>
      </c>
    </row>
    <row r="2" spans="1:5">
      <c r="A2" t="s">
        <v>242</v>
      </c>
      <c r="B2" t="s">
        <v>265</v>
      </c>
      <c r="C2">
        <v>192</v>
      </c>
      <c r="D2">
        <v>0</v>
      </c>
      <c r="E2">
        <v>0</v>
      </c>
    </row>
    <row r="3" spans="1:5">
      <c r="A3" t="s">
        <v>317</v>
      </c>
      <c r="B3" t="s">
        <v>265</v>
      </c>
      <c r="C3">
        <v>255</v>
      </c>
      <c r="D3">
        <v>0</v>
      </c>
      <c r="E3">
        <v>0</v>
      </c>
    </row>
    <row r="4" spans="1:5">
      <c r="A4" t="s">
        <v>10</v>
      </c>
      <c r="B4" t="s">
        <v>265</v>
      </c>
      <c r="C4">
        <v>255</v>
      </c>
      <c r="D4">
        <v>192</v>
      </c>
      <c r="E4">
        <v>0</v>
      </c>
    </row>
    <row r="5" spans="1:5">
      <c r="A5" t="s">
        <v>7</v>
      </c>
      <c r="B5" t="s">
        <v>265</v>
      </c>
      <c r="C5">
        <v>255</v>
      </c>
      <c r="D5">
        <v>255</v>
      </c>
      <c r="E5">
        <v>0</v>
      </c>
    </row>
    <row r="6" spans="1:5">
      <c r="A6" t="s">
        <v>249</v>
      </c>
      <c r="B6" t="s">
        <v>265</v>
      </c>
      <c r="C6">
        <v>146</v>
      </c>
      <c r="D6">
        <v>208</v>
      </c>
      <c r="E6">
        <v>80</v>
      </c>
    </row>
    <row r="7" spans="1:5">
      <c r="A7" t="s">
        <v>8</v>
      </c>
      <c r="B7" t="s">
        <v>265</v>
      </c>
      <c r="C7">
        <v>0</v>
      </c>
      <c r="D7">
        <v>176</v>
      </c>
      <c r="E7">
        <v>80</v>
      </c>
    </row>
    <row r="8" spans="1:5">
      <c r="A8" t="s">
        <v>247</v>
      </c>
      <c r="B8" t="s">
        <v>265</v>
      </c>
      <c r="C8">
        <v>0</v>
      </c>
      <c r="D8">
        <v>176</v>
      </c>
      <c r="E8">
        <v>240</v>
      </c>
    </row>
    <row r="9" spans="1:5">
      <c r="A9" t="s">
        <v>9</v>
      </c>
      <c r="B9" t="s">
        <v>265</v>
      </c>
      <c r="C9">
        <v>0</v>
      </c>
      <c r="D9">
        <v>112</v>
      </c>
      <c r="E9">
        <v>192</v>
      </c>
    </row>
    <row r="10" spans="1:5">
      <c r="A10" t="s">
        <v>252</v>
      </c>
      <c r="B10" t="s">
        <v>265</v>
      </c>
      <c r="C10">
        <v>0</v>
      </c>
      <c r="D10">
        <v>32</v>
      </c>
      <c r="E10">
        <v>96</v>
      </c>
    </row>
    <row r="11" spans="1:5">
      <c r="A11" t="s">
        <v>13</v>
      </c>
      <c r="B11" t="s">
        <v>265</v>
      </c>
      <c r="C11">
        <v>112</v>
      </c>
      <c r="D11">
        <v>48</v>
      </c>
      <c r="E11">
        <v>160</v>
      </c>
    </row>
    <row r="12" spans="1:5">
      <c r="A12" t="s">
        <v>255</v>
      </c>
      <c r="B12" t="s">
        <v>265</v>
      </c>
      <c r="C12">
        <v>192</v>
      </c>
      <c r="D12">
        <v>192</v>
      </c>
      <c r="E12">
        <v>192</v>
      </c>
    </row>
    <row r="13" spans="1:5">
      <c r="A13" t="s">
        <v>14</v>
      </c>
      <c r="B13" t="s">
        <v>265</v>
      </c>
      <c r="C13">
        <v>150</v>
      </c>
      <c r="D13">
        <v>150</v>
      </c>
      <c r="E13">
        <v>150</v>
      </c>
    </row>
    <row r="14" spans="1:5">
      <c r="A14" s="8" t="s">
        <v>256</v>
      </c>
      <c r="B14" s="8" t="s">
        <v>266</v>
      </c>
      <c r="C14" t="s">
        <v>272</v>
      </c>
      <c r="D14">
        <v>0</v>
      </c>
    </row>
    <row r="15" spans="1:5">
      <c r="A15" s="8" t="s">
        <v>267</v>
      </c>
      <c r="B15" s="8" t="s">
        <v>266</v>
      </c>
      <c r="C15" t="s">
        <v>272</v>
      </c>
      <c r="D15">
        <v>0.8</v>
      </c>
    </row>
    <row r="16" spans="1:5">
      <c r="A16" s="8" t="s">
        <v>268</v>
      </c>
      <c r="B16" s="8" t="s">
        <v>266</v>
      </c>
      <c r="C16" t="s">
        <v>272</v>
      </c>
      <c r="D16">
        <v>0.6</v>
      </c>
    </row>
    <row r="17" spans="1:4">
      <c r="A17" s="8" t="s">
        <v>269</v>
      </c>
      <c r="B17" s="8" t="s">
        <v>266</v>
      </c>
      <c r="C17" t="s">
        <v>272</v>
      </c>
      <c r="D17">
        <v>0.4</v>
      </c>
    </row>
    <row r="18" spans="1:4">
      <c r="A18" s="8" t="s">
        <v>270</v>
      </c>
      <c r="B18" s="8" t="s">
        <v>266</v>
      </c>
      <c r="C18" t="s">
        <v>272</v>
      </c>
      <c r="D18">
        <v>-0.25</v>
      </c>
    </row>
    <row r="19" spans="1:4">
      <c r="A19" s="8" t="s">
        <v>271</v>
      </c>
      <c r="B19" s="8" t="s">
        <v>266</v>
      </c>
      <c r="C19" t="s">
        <v>272</v>
      </c>
      <c r="D19">
        <v>-0.5</v>
      </c>
    </row>
    <row r="20" spans="1:4">
      <c r="A20" s="8" t="s">
        <v>257</v>
      </c>
      <c r="B20" s="8" t="s">
        <v>266</v>
      </c>
      <c r="C20" t="s">
        <v>273</v>
      </c>
      <c r="D20">
        <v>0</v>
      </c>
    </row>
    <row r="21" spans="1:4">
      <c r="A21" s="8" t="s">
        <v>274</v>
      </c>
      <c r="B21" s="8" t="s">
        <v>266</v>
      </c>
      <c r="C21" t="s">
        <v>273</v>
      </c>
      <c r="D21">
        <v>0.8</v>
      </c>
    </row>
    <row r="22" spans="1:4">
      <c r="A22" s="8" t="s">
        <v>275</v>
      </c>
      <c r="B22" s="8" t="s">
        <v>266</v>
      </c>
      <c r="C22" t="s">
        <v>273</v>
      </c>
      <c r="D22">
        <v>0.6</v>
      </c>
    </row>
    <row r="23" spans="1:4">
      <c r="A23" s="8" t="s">
        <v>276</v>
      </c>
      <c r="B23" s="8" t="s">
        <v>266</v>
      </c>
      <c r="C23" t="s">
        <v>273</v>
      </c>
      <c r="D23">
        <v>0.4</v>
      </c>
    </row>
    <row r="24" spans="1:4">
      <c r="A24" s="8" t="s">
        <v>277</v>
      </c>
      <c r="B24" s="8" t="s">
        <v>266</v>
      </c>
      <c r="C24" t="s">
        <v>273</v>
      </c>
      <c r="D24">
        <v>-0.25</v>
      </c>
    </row>
    <row r="25" spans="1:4">
      <c r="A25" s="8" t="s">
        <v>278</v>
      </c>
      <c r="B25" s="8" t="s">
        <v>266</v>
      </c>
      <c r="C25" t="s">
        <v>273</v>
      </c>
      <c r="D25">
        <v>-0.5</v>
      </c>
    </row>
    <row r="26" spans="1:4">
      <c r="A26" s="8" t="s">
        <v>258</v>
      </c>
      <c r="B26" s="8" t="s">
        <v>266</v>
      </c>
      <c r="C26" t="s">
        <v>279</v>
      </c>
      <c r="D26">
        <v>0</v>
      </c>
    </row>
    <row r="27" spans="1:4">
      <c r="A27" s="8" t="s">
        <v>280</v>
      </c>
      <c r="B27" s="8" t="s">
        <v>266</v>
      </c>
      <c r="C27" t="s">
        <v>279</v>
      </c>
      <c r="D27">
        <v>0.8</v>
      </c>
    </row>
    <row r="28" spans="1:4">
      <c r="A28" s="8" t="s">
        <v>281</v>
      </c>
      <c r="B28" s="8" t="s">
        <v>266</v>
      </c>
      <c r="C28" t="s">
        <v>279</v>
      </c>
      <c r="D28">
        <v>0.6</v>
      </c>
    </row>
    <row r="29" spans="1:4">
      <c r="A29" s="8" t="s">
        <v>282</v>
      </c>
      <c r="B29" s="8" t="s">
        <v>266</v>
      </c>
      <c r="C29" t="s">
        <v>279</v>
      </c>
      <c r="D29">
        <v>0.4</v>
      </c>
    </row>
    <row r="30" spans="1:4">
      <c r="A30" s="8" t="s">
        <v>283</v>
      </c>
      <c r="B30" s="8" t="s">
        <v>266</v>
      </c>
      <c r="C30" t="s">
        <v>279</v>
      </c>
      <c r="D30">
        <v>-0.25</v>
      </c>
    </row>
    <row r="31" spans="1:4">
      <c r="A31" s="8" t="s">
        <v>284</v>
      </c>
      <c r="B31" s="8" t="s">
        <v>266</v>
      </c>
      <c r="C31" t="s">
        <v>279</v>
      </c>
      <c r="D31">
        <v>-0.5</v>
      </c>
    </row>
    <row r="32" spans="1:4">
      <c r="A32" s="8" t="s">
        <v>259</v>
      </c>
      <c r="B32" s="8" t="s">
        <v>266</v>
      </c>
      <c r="C32" t="s">
        <v>285</v>
      </c>
      <c r="D32">
        <v>0</v>
      </c>
    </row>
    <row r="33" spans="1:4">
      <c r="A33" s="8" t="s">
        <v>286</v>
      </c>
      <c r="B33" s="8" t="s">
        <v>266</v>
      </c>
      <c r="C33" t="s">
        <v>285</v>
      </c>
      <c r="D33">
        <v>0.8</v>
      </c>
    </row>
    <row r="34" spans="1:4">
      <c r="A34" s="8" t="s">
        <v>287</v>
      </c>
      <c r="B34" s="8" t="s">
        <v>266</v>
      </c>
      <c r="C34" t="s">
        <v>285</v>
      </c>
      <c r="D34">
        <v>0.6</v>
      </c>
    </row>
    <row r="35" spans="1:4">
      <c r="A35" s="8" t="s">
        <v>288</v>
      </c>
      <c r="B35" s="8" t="s">
        <v>266</v>
      </c>
      <c r="C35" t="s">
        <v>285</v>
      </c>
      <c r="D35">
        <v>0.4</v>
      </c>
    </row>
    <row r="36" spans="1:4">
      <c r="A36" s="8" t="s">
        <v>289</v>
      </c>
      <c r="B36" s="8" t="s">
        <v>266</v>
      </c>
      <c r="C36" t="s">
        <v>285</v>
      </c>
      <c r="D36">
        <v>-0.25</v>
      </c>
    </row>
    <row r="37" spans="1:4">
      <c r="A37" s="8" t="s">
        <v>290</v>
      </c>
      <c r="B37" s="8" t="s">
        <v>266</v>
      </c>
      <c r="C37" t="s">
        <v>285</v>
      </c>
      <c r="D37">
        <v>-0.5</v>
      </c>
    </row>
    <row r="38" spans="1:4">
      <c r="A38" s="8" t="s">
        <v>260</v>
      </c>
      <c r="B38" s="8" t="s">
        <v>266</v>
      </c>
      <c r="C38" t="s">
        <v>291</v>
      </c>
      <c r="D38">
        <v>0</v>
      </c>
    </row>
    <row r="39" spans="1:4">
      <c r="A39" s="8" t="s">
        <v>292</v>
      </c>
      <c r="B39" s="8" t="s">
        <v>266</v>
      </c>
      <c r="C39" t="s">
        <v>291</v>
      </c>
      <c r="D39">
        <v>0.8</v>
      </c>
    </row>
    <row r="40" spans="1:4">
      <c r="A40" s="8" t="s">
        <v>293</v>
      </c>
      <c r="B40" s="8" t="s">
        <v>266</v>
      </c>
      <c r="C40" t="s">
        <v>291</v>
      </c>
      <c r="D40">
        <v>0.6</v>
      </c>
    </row>
    <row r="41" spans="1:4">
      <c r="A41" s="8" t="s">
        <v>294</v>
      </c>
      <c r="B41" s="8" t="s">
        <v>266</v>
      </c>
      <c r="C41" t="s">
        <v>291</v>
      </c>
      <c r="D41">
        <v>0.4</v>
      </c>
    </row>
    <row r="42" spans="1:4">
      <c r="A42" s="8" t="s">
        <v>295</v>
      </c>
      <c r="B42" s="8" t="s">
        <v>266</v>
      </c>
      <c r="C42" t="s">
        <v>291</v>
      </c>
      <c r="D42">
        <v>-0.25</v>
      </c>
    </row>
    <row r="43" spans="1:4">
      <c r="A43" s="8" t="s">
        <v>296</v>
      </c>
      <c r="B43" s="8" t="s">
        <v>266</v>
      </c>
      <c r="C43" t="s">
        <v>291</v>
      </c>
      <c r="D43">
        <v>-0.5</v>
      </c>
    </row>
    <row r="44" spans="1:4">
      <c r="A44" s="8" t="s">
        <v>261</v>
      </c>
      <c r="B44" s="8" t="s">
        <v>266</v>
      </c>
      <c r="C44" t="s">
        <v>297</v>
      </c>
      <c r="D44">
        <v>0</v>
      </c>
    </row>
    <row r="45" spans="1:4">
      <c r="A45" s="8" t="s">
        <v>298</v>
      </c>
      <c r="B45" s="8" t="s">
        <v>266</v>
      </c>
      <c r="C45" t="s">
        <v>297</v>
      </c>
      <c r="D45">
        <v>0.8</v>
      </c>
    </row>
    <row r="46" spans="1:4">
      <c r="A46" s="8" t="s">
        <v>299</v>
      </c>
      <c r="B46" s="8" t="s">
        <v>266</v>
      </c>
      <c r="C46" t="s">
        <v>297</v>
      </c>
      <c r="D46">
        <v>0.6</v>
      </c>
    </row>
    <row r="47" spans="1:4">
      <c r="A47" s="8" t="s">
        <v>300</v>
      </c>
      <c r="B47" s="8" t="s">
        <v>266</v>
      </c>
      <c r="C47" t="s">
        <v>297</v>
      </c>
      <c r="D47">
        <v>0.4</v>
      </c>
    </row>
    <row r="48" spans="1:4">
      <c r="A48" s="8" t="s">
        <v>301</v>
      </c>
      <c r="B48" s="8" t="s">
        <v>266</v>
      </c>
      <c r="C48" t="s">
        <v>297</v>
      </c>
      <c r="D48">
        <v>-0.25</v>
      </c>
    </row>
    <row r="49" spans="1:4">
      <c r="A49" s="8" t="s">
        <v>302</v>
      </c>
      <c r="B49" s="8" t="s">
        <v>266</v>
      </c>
      <c r="C49" t="s">
        <v>297</v>
      </c>
      <c r="D49">
        <v>-0.5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2"/>
  <sheetViews>
    <sheetView zoomScale="205" zoomScaleNormal="205" workbookViewId="0"/>
  </sheetViews>
  <sheetFormatPr defaultRowHeight="13.5"/>
  <sheetData>
    <row r="1" spans="1:10">
      <c r="A1" t="s">
        <v>192</v>
      </c>
      <c r="B1" t="s">
        <v>193</v>
      </c>
      <c r="C1" t="s">
        <v>194</v>
      </c>
      <c r="D1" t="s">
        <v>195</v>
      </c>
      <c r="E1" t="s">
        <v>196</v>
      </c>
      <c r="F1" t="s">
        <v>197</v>
      </c>
      <c r="G1" t="s">
        <v>198</v>
      </c>
      <c r="H1" t="s">
        <v>199</v>
      </c>
      <c r="I1" t="s">
        <v>200</v>
      </c>
      <c r="J1" t="s">
        <v>201</v>
      </c>
    </row>
    <row r="2" spans="1:10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75"/>
  <sheetViews>
    <sheetView zoomScale="160" zoomScaleNormal="160" workbookViewId="0"/>
  </sheetViews>
  <sheetFormatPr defaultRowHeight="13.5"/>
  <cols>
    <col min="1" max="1" width="27.25" bestFit="1" customWidth="1"/>
    <col min="2" max="2" width="6.5" bestFit="1" customWidth="1"/>
    <col min="3" max="3" width="36.125" bestFit="1" customWidth="1"/>
  </cols>
  <sheetData>
    <row r="1" spans="1:3">
      <c r="A1" s="3" t="s">
        <v>166</v>
      </c>
      <c r="B1" s="3" t="s">
        <v>28</v>
      </c>
      <c r="C1" s="3" t="s">
        <v>167</v>
      </c>
    </row>
    <row r="2" spans="1:3">
      <c r="A2" s="4" t="s">
        <v>29</v>
      </c>
      <c r="B2" s="4">
        <v>-4098</v>
      </c>
      <c r="C2" s="4" t="s">
        <v>30</v>
      </c>
    </row>
    <row r="3" spans="1:3">
      <c r="A3" s="4" t="s">
        <v>262</v>
      </c>
      <c r="B3" s="4">
        <v>78</v>
      </c>
      <c r="C3" s="4" t="s">
        <v>31</v>
      </c>
    </row>
    <row r="4" spans="1:3">
      <c r="A4" s="4" t="s">
        <v>32</v>
      </c>
      <c r="B4" s="4">
        <v>79</v>
      </c>
      <c r="C4" s="4" t="s">
        <v>33</v>
      </c>
    </row>
    <row r="5" spans="1:3">
      <c r="A5" s="4" t="s">
        <v>34</v>
      </c>
      <c r="B5" s="4">
        <v>60</v>
      </c>
      <c r="C5" s="4" t="s">
        <v>35</v>
      </c>
    </row>
    <row r="6" spans="1:3">
      <c r="A6" s="4" t="s">
        <v>36</v>
      </c>
      <c r="B6" s="4">
        <v>61</v>
      </c>
      <c r="C6" s="4" t="s">
        <v>37</v>
      </c>
    </row>
    <row r="7" spans="1:3">
      <c r="A7" s="4" t="s">
        <v>38</v>
      </c>
      <c r="B7" s="4">
        <v>62</v>
      </c>
      <c r="C7" s="4" t="s">
        <v>39</v>
      </c>
    </row>
    <row r="8" spans="1:3">
      <c r="A8" s="4" t="s">
        <v>40</v>
      </c>
      <c r="B8" s="4">
        <v>-4100</v>
      </c>
      <c r="C8" s="4" t="s">
        <v>41</v>
      </c>
    </row>
    <row r="9" spans="1:3">
      <c r="A9" s="4" t="s">
        <v>42</v>
      </c>
      <c r="B9" s="4">
        <v>54</v>
      </c>
      <c r="C9" s="4" t="s">
        <v>43</v>
      </c>
    </row>
    <row r="10" spans="1:3">
      <c r="A10" s="4" t="s">
        <v>44</v>
      </c>
      <c r="B10" s="4">
        <v>55</v>
      </c>
      <c r="C10" s="4" t="s">
        <v>45</v>
      </c>
    </row>
    <row r="11" spans="1:3">
      <c r="A11" s="4" t="s">
        <v>46</v>
      </c>
      <c r="B11" s="4">
        <v>56</v>
      </c>
      <c r="C11" s="4" t="s">
        <v>47</v>
      </c>
    </row>
    <row r="12" spans="1:3">
      <c r="A12" s="4" t="s">
        <v>48</v>
      </c>
      <c r="B12" s="4">
        <v>-4101</v>
      </c>
      <c r="C12" s="4" t="s">
        <v>49</v>
      </c>
    </row>
    <row r="13" spans="1:3">
      <c r="A13" s="4" t="s">
        <v>50</v>
      </c>
      <c r="B13" s="4">
        <v>-4102</v>
      </c>
      <c r="C13" s="4" t="s">
        <v>51</v>
      </c>
    </row>
    <row r="14" spans="1:3">
      <c r="A14" s="4" t="s">
        <v>52</v>
      </c>
      <c r="B14" s="4">
        <v>70</v>
      </c>
      <c r="C14" s="4" t="s">
        <v>53</v>
      </c>
    </row>
    <row r="15" spans="1:3">
      <c r="A15" s="4" t="s">
        <v>54</v>
      </c>
      <c r="B15" s="4">
        <v>1</v>
      </c>
      <c r="C15" s="4" t="s">
        <v>168</v>
      </c>
    </row>
    <row r="16" spans="1:3">
      <c r="A16" s="4" t="s">
        <v>169</v>
      </c>
      <c r="B16" s="4">
        <v>76</v>
      </c>
      <c r="C16" s="4" t="s">
        <v>55</v>
      </c>
    </row>
    <row r="17" spans="1:4">
      <c r="A17" s="4" t="s">
        <v>56</v>
      </c>
      <c r="B17" s="4">
        <v>77</v>
      </c>
      <c r="C17" s="4" t="s">
        <v>33</v>
      </c>
    </row>
    <row r="18" spans="1:4">
      <c r="A18" s="4" t="s">
        <v>57</v>
      </c>
      <c r="B18" s="4">
        <v>57</v>
      </c>
      <c r="C18" s="4" t="s">
        <v>58</v>
      </c>
      <c r="D18" t="s">
        <v>172</v>
      </c>
    </row>
    <row r="19" spans="1:4">
      <c r="A19" s="4" t="s">
        <v>59</v>
      </c>
      <c r="B19" s="4">
        <v>71</v>
      </c>
      <c r="C19" s="4" t="s">
        <v>60</v>
      </c>
      <c r="D19" t="s">
        <v>172</v>
      </c>
    </row>
    <row r="20" spans="1:4">
      <c r="A20" s="4" t="s">
        <v>61</v>
      </c>
      <c r="B20" s="4">
        <v>58</v>
      </c>
      <c r="C20" s="4" t="s">
        <v>62</v>
      </c>
      <c r="D20" t="s">
        <v>172</v>
      </c>
    </row>
    <row r="21" spans="1:4">
      <c r="A21" s="4" t="s">
        <v>63</v>
      </c>
      <c r="B21" s="4">
        <v>59</v>
      </c>
      <c r="C21" s="4" t="s">
        <v>316</v>
      </c>
      <c r="D21" t="s">
        <v>172</v>
      </c>
    </row>
    <row r="22" spans="1:4">
      <c r="A22" s="4" t="s">
        <v>64</v>
      </c>
      <c r="B22" s="4">
        <v>15</v>
      </c>
      <c r="C22" s="4" t="s">
        <v>65</v>
      </c>
    </row>
    <row r="23" spans="1:4">
      <c r="A23" s="4" t="s">
        <v>66</v>
      </c>
      <c r="B23" s="4">
        <v>87</v>
      </c>
      <c r="C23" s="4" t="s">
        <v>67</v>
      </c>
    </row>
    <row r="24" spans="1:4">
      <c r="A24" s="4" t="s">
        <v>68</v>
      </c>
      <c r="B24" s="4">
        <v>51</v>
      </c>
      <c r="C24" s="4" t="s">
        <v>69</v>
      </c>
      <c r="D24" t="s">
        <v>172</v>
      </c>
    </row>
    <row r="25" spans="1:4">
      <c r="A25" s="4" t="s">
        <v>205</v>
      </c>
      <c r="B25" s="4">
        <v>52</v>
      </c>
      <c r="C25" s="4" t="s">
        <v>70</v>
      </c>
      <c r="D25" t="s">
        <v>172</v>
      </c>
    </row>
    <row r="26" spans="1:4">
      <c r="A26" s="4" t="s">
        <v>71</v>
      </c>
      <c r="B26" s="4">
        <v>53</v>
      </c>
      <c r="C26" s="4" t="s">
        <v>72</v>
      </c>
    </row>
    <row r="27" spans="1:4">
      <c r="A27" s="4" t="s">
        <v>73</v>
      </c>
      <c r="B27" s="4">
        <v>102</v>
      </c>
      <c r="C27" s="4" t="s">
        <v>74</v>
      </c>
    </row>
    <row r="28" spans="1:4">
      <c r="A28" s="4" t="s">
        <v>75</v>
      </c>
      <c r="B28" s="4">
        <v>103</v>
      </c>
      <c r="C28" s="4" t="s">
        <v>76</v>
      </c>
    </row>
    <row r="29" spans="1:4">
      <c r="A29" s="4" t="s">
        <v>77</v>
      </c>
      <c r="B29" s="4">
        <v>104</v>
      </c>
      <c r="C29" s="4" t="s">
        <v>78</v>
      </c>
    </row>
    <row r="30" spans="1:4">
      <c r="A30" s="4" t="s">
        <v>79</v>
      </c>
      <c r="B30" s="4">
        <v>105</v>
      </c>
      <c r="C30" s="4" t="s">
        <v>80</v>
      </c>
    </row>
    <row r="31" spans="1:4">
      <c r="A31" s="4" t="s">
        <v>81</v>
      </c>
      <c r="B31" s="4">
        <v>99</v>
      </c>
      <c r="C31" s="4" t="s">
        <v>82</v>
      </c>
    </row>
    <row r="32" spans="1:4">
      <c r="A32" s="4" t="s">
        <v>83</v>
      </c>
      <c r="B32" s="4">
        <v>100</v>
      </c>
      <c r="C32" s="4" t="s">
        <v>84</v>
      </c>
    </row>
    <row r="33" spans="1:4">
      <c r="A33" s="4" t="s">
        <v>85</v>
      </c>
      <c r="B33" s="4">
        <v>101</v>
      </c>
      <c r="C33" s="4" t="s">
        <v>86</v>
      </c>
    </row>
    <row r="34" spans="1:4">
      <c r="A34" s="4" t="s">
        <v>87</v>
      </c>
      <c r="B34" s="4">
        <v>95</v>
      </c>
      <c r="C34" s="4" t="s">
        <v>88</v>
      </c>
    </row>
    <row r="35" spans="1:4">
      <c r="A35" s="4" t="s">
        <v>89</v>
      </c>
      <c r="B35" s="4">
        <v>96</v>
      </c>
      <c r="C35" s="4" t="s">
        <v>90</v>
      </c>
    </row>
    <row r="36" spans="1:4">
      <c r="A36" s="4" t="s">
        <v>91</v>
      </c>
      <c r="B36" s="4">
        <v>97</v>
      </c>
      <c r="C36" s="4" t="s">
        <v>92</v>
      </c>
    </row>
    <row r="37" spans="1:4">
      <c r="A37" s="4" t="s">
        <v>93</v>
      </c>
      <c r="B37" s="4">
        <v>98</v>
      </c>
      <c r="C37" s="4" t="s">
        <v>94</v>
      </c>
    </row>
    <row r="38" spans="1:4">
      <c r="A38" s="4" t="s">
        <v>95</v>
      </c>
      <c r="B38" s="4">
        <v>92</v>
      </c>
      <c r="C38" s="4" t="s">
        <v>82</v>
      </c>
    </row>
    <row r="39" spans="1:4">
      <c r="A39" s="4" t="s">
        <v>96</v>
      </c>
      <c r="B39" s="4">
        <v>93</v>
      </c>
      <c r="C39" s="4" t="s">
        <v>84</v>
      </c>
    </row>
    <row r="40" spans="1:4">
      <c r="A40" s="4" t="s">
        <v>97</v>
      </c>
      <c r="B40" s="4">
        <v>94</v>
      </c>
      <c r="C40" s="4" t="s">
        <v>98</v>
      </c>
    </row>
    <row r="41" spans="1:4">
      <c r="A41" s="4" t="s">
        <v>99</v>
      </c>
      <c r="B41" s="4">
        <v>-4120</v>
      </c>
      <c r="C41" s="4" t="s">
        <v>100</v>
      </c>
    </row>
    <row r="42" spans="1:4">
      <c r="A42" s="4" t="s">
        <v>101</v>
      </c>
      <c r="B42" s="4">
        <v>80</v>
      </c>
      <c r="C42" s="4" t="s">
        <v>102</v>
      </c>
    </row>
    <row r="43" spans="1:4">
      <c r="A43" s="4" t="s">
        <v>103</v>
      </c>
      <c r="B43" s="4">
        <v>4</v>
      </c>
      <c r="C43" s="4" t="s">
        <v>104</v>
      </c>
      <c r="D43" t="s">
        <v>172</v>
      </c>
    </row>
    <row r="44" spans="1:4">
      <c r="A44" s="4" t="s">
        <v>105</v>
      </c>
      <c r="B44" s="4">
        <v>65</v>
      </c>
      <c r="C44" s="4" t="s">
        <v>106</v>
      </c>
      <c r="D44" t="s">
        <v>172</v>
      </c>
    </row>
    <row r="45" spans="1:4">
      <c r="A45" s="4" t="s">
        <v>107</v>
      </c>
      <c r="B45" s="4">
        <v>66</v>
      </c>
      <c r="C45" s="4" t="s">
        <v>108</v>
      </c>
      <c r="D45" t="s">
        <v>172</v>
      </c>
    </row>
    <row r="46" spans="1:4">
      <c r="A46" s="4" t="s">
        <v>109</v>
      </c>
      <c r="B46" s="4">
        <v>67</v>
      </c>
      <c r="C46" s="4" t="s">
        <v>110</v>
      </c>
      <c r="D46" t="s">
        <v>172</v>
      </c>
    </row>
    <row r="47" spans="1:4">
      <c r="A47" s="4" t="s">
        <v>111</v>
      </c>
      <c r="B47" s="4">
        <v>63</v>
      </c>
      <c r="C47" s="4" t="s">
        <v>112</v>
      </c>
      <c r="D47" t="s">
        <v>172</v>
      </c>
    </row>
    <row r="48" spans="1:4">
      <c r="A48" s="4" t="s">
        <v>113</v>
      </c>
      <c r="B48" s="4">
        <v>64</v>
      </c>
      <c r="C48" s="4" t="s">
        <v>114</v>
      </c>
      <c r="D48" t="s">
        <v>172</v>
      </c>
    </row>
    <row r="49" spans="1:3">
      <c r="A49" s="4" t="s">
        <v>115</v>
      </c>
      <c r="B49" s="4">
        <v>5</v>
      </c>
      <c r="C49" s="4" t="s">
        <v>116</v>
      </c>
    </row>
    <row r="50" spans="1:3">
      <c r="A50" s="4" t="s">
        <v>117</v>
      </c>
      <c r="B50" s="4">
        <v>69</v>
      </c>
      <c r="C50" s="4" t="s">
        <v>118</v>
      </c>
    </row>
    <row r="51" spans="1:3">
      <c r="A51" s="4" t="s">
        <v>119</v>
      </c>
      <c r="B51" s="4">
        <v>68</v>
      </c>
      <c r="C51" s="4" t="s">
        <v>120</v>
      </c>
    </row>
    <row r="52" spans="1:3">
      <c r="A52" s="4" t="s">
        <v>121</v>
      </c>
      <c r="B52" s="4">
        <v>109</v>
      </c>
      <c r="C52" s="4" t="s">
        <v>122</v>
      </c>
    </row>
    <row r="53" spans="1:3">
      <c r="A53" s="4" t="s">
        <v>123</v>
      </c>
      <c r="B53" s="4">
        <v>110</v>
      </c>
      <c r="C53" s="4" t="s">
        <v>124</v>
      </c>
    </row>
    <row r="54" spans="1:3">
      <c r="A54" s="4" t="s">
        <v>125</v>
      </c>
      <c r="B54" s="4">
        <v>111</v>
      </c>
      <c r="C54" s="4" t="s">
        <v>126</v>
      </c>
    </row>
    <row r="55" spans="1:3">
      <c r="A55" s="4" t="s">
        <v>127</v>
      </c>
      <c r="B55" s="4">
        <v>112</v>
      </c>
      <c r="C55" s="4" t="s">
        <v>128</v>
      </c>
    </row>
    <row r="56" spans="1:3">
      <c r="A56" s="4" t="s">
        <v>129</v>
      </c>
      <c r="B56" s="4">
        <v>106</v>
      </c>
      <c r="C56" s="4" t="s">
        <v>130</v>
      </c>
    </row>
    <row r="57" spans="1:3">
      <c r="A57" s="4" t="s">
        <v>131</v>
      </c>
      <c r="B57" s="4">
        <v>107</v>
      </c>
      <c r="C57" s="4" t="s">
        <v>132</v>
      </c>
    </row>
    <row r="58" spans="1:3">
      <c r="A58" s="4" t="s">
        <v>133</v>
      </c>
      <c r="B58" s="4">
        <v>108</v>
      </c>
      <c r="C58" s="4" t="s">
        <v>126</v>
      </c>
    </row>
    <row r="59" spans="1:3">
      <c r="A59" s="4" t="s">
        <v>134</v>
      </c>
      <c r="B59" s="4">
        <v>-4151</v>
      </c>
      <c r="C59" s="4" t="s">
        <v>135</v>
      </c>
    </row>
    <row r="60" spans="1:3">
      <c r="A60" s="4" t="s">
        <v>170</v>
      </c>
      <c r="B60" s="4">
        <v>82</v>
      </c>
      <c r="C60" s="4" t="s">
        <v>136</v>
      </c>
    </row>
    <row r="61" spans="1:3">
      <c r="A61" s="4" t="s">
        <v>171</v>
      </c>
      <c r="B61" s="4">
        <v>81</v>
      </c>
      <c r="C61" s="4" t="s">
        <v>137</v>
      </c>
    </row>
    <row r="62" spans="1:3">
      <c r="A62" t="s">
        <v>138</v>
      </c>
      <c r="B62">
        <v>140</v>
      </c>
      <c r="C62" t="s">
        <v>139</v>
      </c>
    </row>
    <row r="63" spans="1:3">
      <c r="A63" s="4" t="s">
        <v>140</v>
      </c>
      <c r="B63" s="4">
        <v>88</v>
      </c>
      <c r="C63" s="4" t="s">
        <v>141</v>
      </c>
    </row>
    <row r="64" spans="1:3">
      <c r="A64" s="4" t="s">
        <v>142</v>
      </c>
      <c r="B64" s="4">
        <v>89</v>
      </c>
      <c r="C64" s="4" t="s">
        <v>143</v>
      </c>
    </row>
    <row r="65" spans="1:4">
      <c r="A65" s="4" t="s">
        <v>144</v>
      </c>
      <c r="B65" s="4">
        <v>90</v>
      </c>
      <c r="C65" s="4" t="s">
        <v>145</v>
      </c>
    </row>
    <row r="66" spans="1:4">
      <c r="A66" s="4" t="s">
        <v>146</v>
      </c>
      <c r="B66" s="4">
        <v>91</v>
      </c>
      <c r="C66" s="4" t="s">
        <v>147</v>
      </c>
    </row>
    <row r="67" spans="1:4">
      <c r="A67" s="4" t="s">
        <v>148</v>
      </c>
      <c r="B67" s="4">
        <v>83</v>
      </c>
      <c r="C67" s="4" t="s">
        <v>149</v>
      </c>
    </row>
    <row r="68" spans="1:4">
      <c r="A68" s="4" t="s">
        <v>150</v>
      </c>
      <c r="B68" s="4">
        <v>85</v>
      </c>
      <c r="C68" s="4" t="s">
        <v>151</v>
      </c>
    </row>
    <row r="69" spans="1:4">
      <c r="A69" s="4" t="s">
        <v>152</v>
      </c>
      <c r="B69" s="4">
        <v>86</v>
      </c>
      <c r="C69" s="4" t="s">
        <v>153</v>
      </c>
    </row>
    <row r="70" spans="1:4">
      <c r="A70" s="4" t="s">
        <v>154</v>
      </c>
      <c r="B70" s="4">
        <v>84</v>
      </c>
      <c r="C70" s="4" t="s">
        <v>155</v>
      </c>
    </row>
    <row r="71" spans="1:4">
      <c r="A71" s="4" t="s">
        <v>156</v>
      </c>
      <c r="B71" s="4">
        <v>-4169</v>
      </c>
      <c r="C71" s="4" t="s">
        <v>157</v>
      </c>
      <c r="D71" t="s">
        <v>172</v>
      </c>
    </row>
    <row r="72" spans="1:4">
      <c r="A72" s="4" t="s">
        <v>158</v>
      </c>
      <c r="B72" s="4">
        <v>74</v>
      </c>
      <c r="C72" s="4" t="s">
        <v>159</v>
      </c>
      <c r="D72" t="s">
        <v>172</v>
      </c>
    </row>
    <row r="73" spans="1:4">
      <c r="A73" s="4" t="s">
        <v>160</v>
      </c>
      <c r="B73" s="4">
        <v>75</v>
      </c>
      <c r="C73" s="4" t="s">
        <v>161</v>
      </c>
      <c r="D73" t="s">
        <v>172</v>
      </c>
    </row>
    <row r="74" spans="1:4">
      <c r="A74" s="4" t="s">
        <v>162</v>
      </c>
      <c r="B74" s="4">
        <v>72</v>
      </c>
      <c r="C74" s="4" t="s">
        <v>163</v>
      </c>
      <c r="D74" t="s">
        <v>172</v>
      </c>
    </row>
    <row r="75" spans="1:4">
      <c r="A75" s="4" t="s">
        <v>164</v>
      </c>
      <c r="B75" s="4">
        <v>73</v>
      </c>
      <c r="C75" s="4" t="s">
        <v>165</v>
      </c>
      <c r="D75" t="s">
        <v>172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41"/>
  <sheetViews>
    <sheetView zoomScale="85" zoomScaleNormal="85" workbookViewId="0"/>
  </sheetViews>
  <sheetFormatPr defaultRowHeight="13.5"/>
  <cols>
    <col min="1" max="1" width="12.625" bestFit="1" customWidth="1"/>
    <col min="2" max="3" width="16.5" bestFit="1" customWidth="1"/>
    <col min="4" max="5" width="8.5" bestFit="1" customWidth="1"/>
    <col min="6" max="6" width="8.375" bestFit="1" customWidth="1"/>
    <col min="7" max="7" width="17.75" bestFit="1" customWidth="1"/>
    <col min="8" max="8" width="9.75" bestFit="1" customWidth="1"/>
  </cols>
  <sheetData>
    <row r="1" spans="1:11">
      <c r="A1" t="s">
        <v>173</v>
      </c>
      <c r="B1" t="s">
        <v>318</v>
      </c>
      <c r="C1" t="s">
        <v>203</v>
      </c>
      <c r="D1" t="s">
        <v>180</v>
      </c>
      <c r="E1" t="s">
        <v>188</v>
      </c>
      <c r="F1" t="s">
        <v>206</v>
      </c>
      <c r="G1" t="s">
        <v>217</v>
      </c>
      <c r="H1" t="s">
        <v>224</v>
      </c>
      <c r="I1" t="s">
        <v>234</v>
      </c>
      <c r="J1" t="s">
        <v>243</v>
      </c>
      <c r="K1" t="s">
        <v>308</v>
      </c>
    </row>
    <row r="2" spans="1:11">
      <c r="A2" t="s">
        <v>336</v>
      </c>
      <c r="B2" t="b">
        <v>0</v>
      </c>
      <c r="C2" t="b">
        <v>1</v>
      </c>
      <c r="D2" t="b">
        <v>0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0</v>
      </c>
      <c r="K2" t="b">
        <v>1</v>
      </c>
    </row>
    <row r="3" spans="1:11">
      <c r="A3" t="s">
        <v>337</v>
      </c>
      <c r="B3" t="b">
        <v>0</v>
      </c>
      <c r="C3" t="b">
        <v>1</v>
      </c>
      <c r="D3" t="b">
        <v>1</v>
      </c>
      <c r="E3" t="b">
        <v>1</v>
      </c>
      <c r="F3" t="b">
        <v>1</v>
      </c>
      <c r="G3" t="b">
        <v>1</v>
      </c>
      <c r="H3" t="b">
        <v>1</v>
      </c>
      <c r="I3" t="b">
        <v>1</v>
      </c>
      <c r="J3" t="b">
        <v>0</v>
      </c>
      <c r="K3" t="b">
        <v>1</v>
      </c>
    </row>
    <row r="4" spans="1:11">
      <c r="A4" t="s">
        <v>338</v>
      </c>
      <c r="B4" t="b">
        <v>0</v>
      </c>
      <c r="C4" t="b">
        <v>1</v>
      </c>
      <c r="D4" t="b">
        <v>1</v>
      </c>
      <c r="E4" t="b">
        <v>1</v>
      </c>
      <c r="F4" t="b">
        <v>1</v>
      </c>
      <c r="G4" t="b">
        <v>1</v>
      </c>
      <c r="H4" t="b">
        <v>1</v>
      </c>
      <c r="I4" t="b">
        <v>1</v>
      </c>
      <c r="J4" t="b">
        <v>0</v>
      </c>
      <c r="K4" t="b">
        <v>1</v>
      </c>
    </row>
    <row r="5" spans="1:11">
      <c r="A5" t="s">
        <v>339</v>
      </c>
      <c r="B5" t="b">
        <v>0</v>
      </c>
      <c r="C5" t="b">
        <v>1</v>
      </c>
      <c r="D5" t="b">
        <v>1</v>
      </c>
      <c r="E5" t="b">
        <v>1</v>
      </c>
      <c r="F5" t="b">
        <v>1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 t="s">
        <v>340</v>
      </c>
      <c r="B6" t="s">
        <v>319</v>
      </c>
      <c r="C6" t="s">
        <v>179</v>
      </c>
      <c r="D6" t="s">
        <v>181</v>
      </c>
      <c r="E6" t="s">
        <v>181</v>
      </c>
      <c r="F6" t="s">
        <v>207</v>
      </c>
      <c r="G6" t="s">
        <v>218</v>
      </c>
      <c r="H6" t="s">
        <v>225</v>
      </c>
      <c r="I6" t="s">
        <v>235</v>
      </c>
      <c r="J6" t="s">
        <v>207</v>
      </c>
      <c r="K6" t="s">
        <v>309</v>
      </c>
    </row>
    <row r="7" spans="1:11">
      <c r="A7" t="s">
        <v>341</v>
      </c>
      <c r="B7" t="b">
        <v>1</v>
      </c>
      <c r="C7" t="b">
        <v>1</v>
      </c>
      <c r="D7" t="b">
        <v>1</v>
      </c>
      <c r="E7" t="b">
        <v>1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>
      <c r="A8" t="s">
        <v>342</v>
      </c>
      <c r="B8" t="s">
        <v>320</v>
      </c>
      <c r="C8" t="s">
        <v>174</v>
      </c>
      <c r="D8" t="s">
        <v>182</v>
      </c>
      <c r="E8" t="s">
        <v>182</v>
      </c>
      <c r="F8" t="s">
        <v>208</v>
      </c>
      <c r="G8" t="s">
        <v>219</v>
      </c>
      <c r="H8" t="s">
        <v>226</v>
      </c>
      <c r="I8" t="s">
        <v>236</v>
      </c>
      <c r="J8" t="s">
        <v>208</v>
      </c>
      <c r="K8" t="s">
        <v>310</v>
      </c>
    </row>
    <row r="9" spans="1:11">
      <c r="A9" t="s">
        <v>343</v>
      </c>
      <c r="B9" t="s">
        <v>321</v>
      </c>
      <c r="C9" t="s">
        <v>175</v>
      </c>
      <c r="D9" t="s">
        <v>183</v>
      </c>
      <c r="E9">
        <v>2</v>
      </c>
      <c r="F9">
        <v>2</v>
      </c>
      <c r="G9" t="s">
        <v>220</v>
      </c>
      <c r="H9" t="s">
        <v>227</v>
      </c>
      <c r="I9" t="s">
        <v>237</v>
      </c>
      <c r="J9" t="s">
        <v>202</v>
      </c>
      <c r="K9" t="s">
        <v>311</v>
      </c>
    </row>
    <row r="10" spans="1:11">
      <c r="A10" t="s">
        <v>344</v>
      </c>
      <c r="B10" t="b">
        <v>0</v>
      </c>
      <c r="C10" t="b">
        <v>1</v>
      </c>
      <c r="D10" t="b">
        <v>0</v>
      </c>
      <c r="E10" t="b">
        <v>1</v>
      </c>
      <c r="F10" t="b">
        <v>1</v>
      </c>
      <c r="G10" t="b">
        <v>1</v>
      </c>
      <c r="H10" t="b">
        <v>0</v>
      </c>
      <c r="I10" t="b">
        <v>1</v>
      </c>
      <c r="J10" t="b">
        <v>0</v>
      </c>
      <c r="K10" t="b">
        <v>0</v>
      </c>
    </row>
    <row r="11" spans="1:11">
      <c r="A11" t="s">
        <v>345</v>
      </c>
      <c r="B11" t="s">
        <v>322</v>
      </c>
      <c r="C11" t="s">
        <v>175</v>
      </c>
      <c r="D11" t="s">
        <v>183</v>
      </c>
      <c r="E11">
        <v>0</v>
      </c>
      <c r="F11">
        <v>-10</v>
      </c>
      <c r="G11">
        <v>-10</v>
      </c>
      <c r="H11" t="s">
        <v>227</v>
      </c>
      <c r="I11">
        <v>-9</v>
      </c>
      <c r="J11" t="s">
        <v>202</v>
      </c>
      <c r="K11">
        <v>-100</v>
      </c>
    </row>
    <row r="12" spans="1:11">
      <c r="A12" t="s">
        <v>346</v>
      </c>
      <c r="B12" t="s">
        <v>322</v>
      </c>
      <c r="C12" t="s">
        <v>175</v>
      </c>
      <c r="D12" t="s">
        <v>183</v>
      </c>
      <c r="E12">
        <v>100</v>
      </c>
      <c r="F12">
        <v>10</v>
      </c>
      <c r="G12">
        <v>10</v>
      </c>
      <c r="H12">
        <v>25</v>
      </c>
      <c r="I12">
        <v>9</v>
      </c>
      <c r="J12" t="s">
        <v>202</v>
      </c>
      <c r="K12" t="s">
        <v>311</v>
      </c>
    </row>
    <row r="13" spans="1:11">
      <c r="A13" t="s">
        <v>347</v>
      </c>
      <c r="B13" t="s">
        <v>322</v>
      </c>
      <c r="C13" t="s">
        <v>175</v>
      </c>
      <c r="D13">
        <v>55200</v>
      </c>
      <c r="E13">
        <v>55200</v>
      </c>
      <c r="F13">
        <v>-10</v>
      </c>
      <c r="G13">
        <v>-10</v>
      </c>
      <c r="H13" t="s">
        <v>227</v>
      </c>
      <c r="I13">
        <v>-9</v>
      </c>
      <c r="J13" t="s">
        <v>202</v>
      </c>
      <c r="K13" t="s">
        <v>311</v>
      </c>
    </row>
    <row r="14" spans="1:11">
      <c r="A14" t="s">
        <v>348</v>
      </c>
      <c r="B14" t="s">
        <v>322</v>
      </c>
      <c r="C14" t="s">
        <v>175</v>
      </c>
      <c r="D14">
        <v>55800</v>
      </c>
      <c r="E14">
        <v>56000</v>
      </c>
      <c r="F14">
        <v>10</v>
      </c>
      <c r="G14">
        <v>10</v>
      </c>
      <c r="H14" t="s">
        <v>227</v>
      </c>
      <c r="I14">
        <v>9</v>
      </c>
      <c r="J14" t="s">
        <v>202</v>
      </c>
      <c r="K14" t="s">
        <v>311</v>
      </c>
    </row>
    <row r="15" spans="1:11">
      <c r="A15" t="s">
        <v>349</v>
      </c>
      <c r="B15" t="s">
        <v>322</v>
      </c>
      <c r="C15">
        <v>5</v>
      </c>
      <c r="D15" t="s">
        <v>183</v>
      </c>
      <c r="E15">
        <v>20</v>
      </c>
      <c r="F15">
        <v>5</v>
      </c>
      <c r="G15">
        <v>5</v>
      </c>
      <c r="H15" t="s">
        <v>228</v>
      </c>
      <c r="I15">
        <v>3</v>
      </c>
      <c r="J15" t="s">
        <v>202</v>
      </c>
      <c r="K15" t="s">
        <v>311</v>
      </c>
    </row>
    <row r="16" spans="1:11">
      <c r="A16" t="s">
        <v>350</v>
      </c>
      <c r="B16" t="s">
        <v>322</v>
      </c>
      <c r="C16">
        <v>5</v>
      </c>
      <c r="D16" t="s">
        <v>183</v>
      </c>
      <c r="E16" t="s">
        <v>189</v>
      </c>
      <c r="F16">
        <v>5</v>
      </c>
      <c r="G16">
        <v>5</v>
      </c>
      <c r="H16" t="s">
        <v>228</v>
      </c>
      <c r="I16">
        <v>3</v>
      </c>
      <c r="J16" t="s">
        <v>202</v>
      </c>
      <c r="K16">
        <v>10</v>
      </c>
    </row>
    <row r="17" spans="1:11">
      <c r="A17" t="s">
        <v>351</v>
      </c>
      <c r="B17" t="s">
        <v>323</v>
      </c>
      <c r="C17" t="s">
        <v>178</v>
      </c>
      <c r="D17" t="s">
        <v>186</v>
      </c>
      <c r="E17" t="s">
        <v>186</v>
      </c>
      <c r="F17" t="s">
        <v>209</v>
      </c>
      <c r="G17" t="s">
        <v>221</v>
      </c>
      <c r="H17" t="s">
        <v>229</v>
      </c>
      <c r="I17" t="s">
        <v>238</v>
      </c>
      <c r="J17" t="s">
        <v>303</v>
      </c>
      <c r="K17" t="s">
        <v>312</v>
      </c>
    </row>
    <row r="18" spans="1:11">
      <c r="A18" t="s">
        <v>352</v>
      </c>
      <c r="B18" t="s">
        <v>324</v>
      </c>
      <c r="C18" t="s">
        <v>176</v>
      </c>
      <c r="D18" t="s">
        <v>187</v>
      </c>
      <c r="E18" t="s">
        <v>187</v>
      </c>
      <c r="F18" t="s">
        <v>209</v>
      </c>
      <c r="G18" t="s">
        <v>221</v>
      </c>
      <c r="H18" t="s">
        <v>230</v>
      </c>
      <c r="I18" t="s">
        <v>238</v>
      </c>
      <c r="J18" t="s">
        <v>304</v>
      </c>
      <c r="K18" t="s">
        <v>313</v>
      </c>
    </row>
    <row r="19" spans="1:11">
      <c r="A19" t="s">
        <v>353</v>
      </c>
      <c r="B19">
        <v>50</v>
      </c>
      <c r="C19">
        <v>50</v>
      </c>
      <c r="D19">
        <v>50</v>
      </c>
      <c r="E19">
        <v>50</v>
      </c>
      <c r="F19">
        <v>50</v>
      </c>
      <c r="G19">
        <v>50</v>
      </c>
      <c r="H19">
        <v>50</v>
      </c>
      <c r="I19">
        <v>50</v>
      </c>
      <c r="J19">
        <v>50</v>
      </c>
      <c r="K19">
        <v>50</v>
      </c>
    </row>
    <row r="20" spans="1:11">
      <c r="A20" t="s">
        <v>354</v>
      </c>
      <c r="B20">
        <v>10</v>
      </c>
      <c r="C20">
        <v>11</v>
      </c>
      <c r="D20">
        <v>10</v>
      </c>
      <c r="E20">
        <v>10</v>
      </c>
      <c r="F20">
        <v>10</v>
      </c>
      <c r="G20">
        <v>10</v>
      </c>
      <c r="H20">
        <v>10</v>
      </c>
      <c r="I20">
        <v>10</v>
      </c>
      <c r="J20">
        <v>10</v>
      </c>
      <c r="K20">
        <v>10</v>
      </c>
    </row>
    <row r="21" spans="1:11">
      <c r="A21" t="s">
        <v>355</v>
      </c>
      <c r="B21">
        <v>20</v>
      </c>
      <c r="C21">
        <v>31</v>
      </c>
      <c r="D21">
        <v>20</v>
      </c>
      <c r="E21">
        <v>17</v>
      </c>
      <c r="F21">
        <v>30</v>
      </c>
      <c r="G21">
        <v>30</v>
      </c>
      <c r="H21">
        <v>20</v>
      </c>
      <c r="I21">
        <v>30</v>
      </c>
      <c r="J21">
        <v>20</v>
      </c>
      <c r="K21">
        <v>20</v>
      </c>
    </row>
    <row r="22" spans="1:11">
      <c r="A22" t="s">
        <v>356</v>
      </c>
      <c r="B22" t="s">
        <v>325</v>
      </c>
      <c r="C22" t="s">
        <v>204</v>
      </c>
      <c r="D22" t="s">
        <v>184</v>
      </c>
      <c r="E22" t="s">
        <v>190</v>
      </c>
      <c r="F22" t="s">
        <v>210</v>
      </c>
      <c r="G22" t="s">
        <v>222</v>
      </c>
      <c r="H22" t="s">
        <v>231</v>
      </c>
      <c r="I22" t="s">
        <v>239</v>
      </c>
      <c r="J22" t="s">
        <v>305</v>
      </c>
      <c r="K22" t="s">
        <v>314</v>
      </c>
    </row>
    <row r="23" spans="1:11">
      <c r="A23" t="s">
        <v>357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358</v>
      </c>
      <c r="B24">
        <v>2</v>
      </c>
      <c r="C24">
        <v>3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2</v>
      </c>
      <c r="K24">
        <v>2</v>
      </c>
    </row>
    <row r="25" spans="1:11">
      <c r="A25" t="s">
        <v>359</v>
      </c>
      <c r="B25" t="s">
        <v>326</v>
      </c>
      <c r="C25" t="s">
        <v>177</v>
      </c>
      <c r="D25" t="s">
        <v>185</v>
      </c>
      <c r="E25" t="s">
        <v>191</v>
      </c>
      <c r="F25" t="s">
        <v>211</v>
      </c>
      <c r="G25" t="s">
        <v>223</v>
      </c>
      <c r="H25" t="s">
        <v>232</v>
      </c>
      <c r="I25" t="s">
        <v>240</v>
      </c>
      <c r="J25" t="s">
        <v>306</v>
      </c>
      <c r="K25" t="s">
        <v>315</v>
      </c>
    </row>
    <row r="26" spans="1:11">
      <c r="A26" t="s">
        <v>360</v>
      </c>
      <c r="B26">
        <v>3</v>
      </c>
      <c r="C26">
        <v>6</v>
      </c>
      <c r="D26">
        <v>3</v>
      </c>
      <c r="E26">
        <v>3</v>
      </c>
      <c r="F26">
        <v>4</v>
      </c>
      <c r="G26">
        <v>5</v>
      </c>
      <c r="H26">
        <v>2</v>
      </c>
      <c r="I26">
        <v>3</v>
      </c>
      <c r="J26">
        <v>3</v>
      </c>
      <c r="K26">
        <v>2</v>
      </c>
    </row>
    <row r="27" spans="1:11">
      <c r="A27" t="s">
        <v>361</v>
      </c>
      <c r="B27" t="b">
        <v>0</v>
      </c>
      <c r="C27" t="b">
        <v>0</v>
      </c>
      <c r="D27" t="b">
        <v>0</v>
      </c>
      <c r="E27" t="b">
        <v>0</v>
      </c>
      <c r="F27" t="b">
        <v>0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</row>
    <row r="28" spans="1:11">
      <c r="A28" t="s">
        <v>362</v>
      </c>
      <c r="B28" t="b">
        <v>0</v>
      </c>
      <c r="C28" t="b">
        <v>1</v>
      </c>
      <c r="D28" t="b">
        <v>1</v>
      </c>
      <c r="E28" t="b">
        <v>1</v>
      </c>
      <c r="F28" t="b">
        <v>1</v>
      </c>
      <c r="G28" t="b">
        <v>1</v>
      </c>
      <c r="H28" t="b">
        <v>1</v>
      </c>
      <c r="I28" t="b">
        <v>1</v>
      </c>
      <c r="J28" t="b">
        <v>0</v>
      </c>
      <c r="K28" t="b">
        <v>1</v>
      </c>
    </row>
    <row r="29" spans="1:11">
      <c r="A29" t="s">
        <v>363</v>
      </c>
      <c r="B29" t="b">
        <v>0</v>
      </c>
      <c r="C29" t="b">
        <v>1</v>
      </c>
      <c r="D29" t="b">
        <v>0</v>
      </c>
      <c r="E29" t="b">
        <v>0</v>
      </c>
      <c r="F29" t="b">
        <v>0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</row>
    <row r="30" spans="1:11">
      <c r="A30" t="s">
        <v>364</v>
      </c>
      <c r="B30" t="b">
        <v>1</v>
      </c>
      <c r="C30" t="b">
        <v>1</v>
      </c>
      <c r="D30" t="b">
        <v>1</v>
      </c>
      <c r="E30" t="b">
        <v>1</v>
      </c>
      <c r="F30" t="b">
        <v>1</v>
      </c>
      <c r="G30" t="b">
        <v>1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 t="s">
        <v>365</v>
      </c>
      <c r="B31" t="s">
        <v>327</v>
      </c>
      <c r="J31" t="s">
        <v>241</v>
      </c>
      <c r="K31" t="b">
        <v>0</v>
      </c>
    </row>
    <row r="32" spans="1:11">
      <c r="A32" t="s">
        <v>366</v>
      </c>
      <c r="B32" t="s">
        <v>328</v>
      </c>
      <c r="J32" t="s">
        <v>244</v>
      </c>
    </row>
    <row r="33" spans="1:10">
      <c r="A33" t="s">
        <v>367</v>
      </c>
      <c r="B33" t="s">
        <v>329</v>
      </c>
      <c r="J33" t="s">
        <v>245</v>
      </c>
    </row>
    <row r="34" spans="1:10">
      <c r="A34" t="s">
        <v>368</v>
      </c>
      <c r="B34" t="s">
        <v>330</v>
      </c>
      <c r="J34" t="s">
        <v>245</v>
      </c>
    </row>
    <row r="35" spans="1:10">
      <c r="A35" t="s">
        <v>369</v>
      </c>
      <c r="B35" t="s">
        <v>331</v>
      </c>
      <c r="J35" t="s">
        <v>248</v>
      </c>
    </row>
    <row r="36" spans="1:10">
      <c r="A36" t="s">
        <v>370</v>
      </c>
      <c r="B36" t="s">
        <v>332</v>
      </c>
      <c r="J36" t="s">
        <v>246</v>
      </c>
    </row>
    <row r="37" spans="1:10">
      <c r="A37" t="s">
        <v>371</v>
      </c>
      <c r="B37" t="s">
        <v>333</v>
      </c>
      <c r="J37" t="s">
        <v>251</v>
      </c>
    </row>
    <row r="38" spans="1:10">
      <c r="A38" t="s">
        <v>372</v>
      </c>
      <c r="B38" t="s">
        <v>334</v>
      </c>
      <c r="J38" t="s">
        <v>256</v>
      </c>
    </row>
    <row r="39" spans="1:10">
      <c r="A39" t="s">
        <v>373</v>
      </c>
      <c r="B39" t="s">
        <v>335</v>
      </c>
      <c r="J39" t="s">
        <v>250</v>
      </c>
    </row>
    <row r="40" spans="1:10">
      <c r="A40" t="s">
        <v>374</v>
      </c>
      <c r="B40" t="s">
        <v>328</v>
      </c>
    </row>
    <row r="41" spans="1:10">
      <c r="A41" t="s">
        <v>375</v>
      </c>
      <c r="B41" t="b">
        <v>1</v>
      </c>
      <c r="J41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</vt:lpstr>
      <vt:lpstr>Sheet1</vt:lpstr>
      <vt:lpstr>お試し</vt:lpstr>
      <vt:lpstr>色</vt:lpstr>
      <vt:lpstr>ListBox1</vt:lpstr>
      <vt:lpstr>ChartType</vt:lpstr>
      <vt:lpstr>profile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2016mujig2</dc:creator>
  <cp:lastModifiedBy>吉村元一</cp:lastModifiedBy>
  <dcterms:created xsi:type="dcterms:W3CDTF">2018-07-17T08:33:51Z</dcterms:created>
  <dcterms:modified xsi:type="dcterms:W3CDTF">2021-03-03T21:34:47Z</dcterms:modified>
</cp:coreProperties>
</file>