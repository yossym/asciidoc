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Documsnts\asciidoc\asciidoc\excel\gグラフ編雁E20210326\"/>
    </mc:Choice>
  </mc:AlternateContent>
  <xr:revisionPtr revIDLastSave="0" documentId="13_ncr:1_{6C4B3F5A-EFD1-4904-8E04-7251FA87DE21}" xr6:coauthVersionLast="46" xr6:coauthVersionMax="46" xr10:uidLastSave="{00000000-0000-0000-0000-000000000000}"/>
  <bookViews>
    <workbookView xWindow="615" yWindow="90" windowWidth="7995" windowHeight="6150" firstSheet="2" activeTab="3" xr2:uid="{00000000-000D-0000-FFFF-FFFF00000000}"/>
  </bookViews>
  <sheets>
    <sheet name="Sheet_2" sheetId="1" r:id="rId1"/>
    <sheet name="Sheet1" sheetId="7" r:id="rId2"/>
    <sheet name="お試し" sheetId="2" r:id="rId3"/>
    <sheet name="色" sheetId="8" r:id="rId4"/>
    <sheet name="ChartType" sheetId="5" r:id="rId5"/>
    <sheet name="profile" sheetId="6" r:id="rId6"/>
    <sheet name="グラフ一覧" sheetId="9" r:id="rId7"/>
    <sheet name="Sheet2" sheetId="10" r:id="rId8"/>
  </sheets>
  <functionGroups builtInGroupCount="19"/>
  <definedNames>
    <definedName name="aaa" hidden="1">Sheet_2!$AA$12:$AA$14</definedName>
    <definedName name="bbb" hidden="1">Sheet_2!$AB$11</definedName>
    <definedName name="ccc" hidden="1">Sheet_2!$AB$12:$AB$14</definedName>
    <definedName name="ddd" hidden="1">Sheet_2!$AC$11</definedName>
    <definedName name="eee" hidden="1">Sheet_2!$AC$12:$AC$14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1" i="10" l="1"/>
  <c r="L31" i="10"/>
  <c r="K31" i="10"/>
  <c r="M30" i="10"/>
  <c r="L30" i="10"/>
  <c r="K30" i="10"/>
  <c r="O30" i="10" s="1"/>
  <c r="M29" i="10"/>
  <c r="L29" i="10"/>
  <c r="K29" i="10"/>
  <c r="O29" i="10" s="1"/>
  <c r="M28" i="10"/>
  <c r="L28" i="10"/>
  <c r="M27" i="10"/>
  <c r="L27" i="10"/>
  <c r="O27" i="10" s="1"/>
  <c r="M26" i="10"/>
  <c r="L26" i="10"/>
  <c r="O26" i="10" s="1"/>
  <c r="M25" i="10"/>
  <c r="L25" i="10"/>
  <c r="O25" i="10" s="1"/>
  <c r="M24" i="10"/>
  <c r="L24" i="10"/>
  <c r="K24" i="10"/>
  <c r="L23" i="10"/>
  <c r="K23" i="10"/>
  <c r="L21" i="10"/>
  <c r="K21" i="10"/>
  <c r="O21" i="10" s="1"/>
  <c r="K20" i="10"/>
  <c r="O20" i="10" s="1"/>
  <c r="K19" i="10"/>
  <c r="O19" i="10" s="1"/>
  <c r="O31" i="10" l="1"/>
  <c r="O23" i="10"/>
  <c r="O24" i="10"/>
  <c r="O28" i="10"/>
  <c r="A14" i="1"/>
  <c r="A10" i="1"/>
  <c r="A8" i="1"/>
  <c r="A7" i="1"/>
  <c r="A6" i="1" l="1"/>
  <c r="A3" i="1" l="1"/>
  <c r="A2" i="1"/>
  <c r="A1" i="1"/>
  <c r="A1" i="2" l="1"/>
  <c r="AA27" i="1"/>
  <c r="AA29" i="1" s="1"/>
  <c r="Z29" i="1" s="1"/>
  <c r="AA23" i="1"/>
  <c r="AA25" i="1" s="1"/>
  <c r="Z25" i="1" s="1"/>
  <c r="X1" i="1"/>
  <c r="AA24" i="1" l="1"/>
  <c r="Z24" i="1" s="1"/>
  <c r="AA28" i="1"/>
  <c r="Z28" i="1" s="1"/>
</calcChain>
</file>

<file path=xl/sharedStrings.xml><?xml version="1.0" encoding="utf-8"?>
<sst xmlns="http://schemas.openxmlformats.org/spreadsheetml/2006/main" count="574" uniqueCount="373">
  <si>
    <t>w</t>
    <phoneticPr fontId="1"/>
  </si>
  <si>
    <t>x</t>
    <phoneticPr fontId="1"/>
  </si>
  <si>
    <t>s</t>
    <phoneticPr fontId="1"/>
  </si>
  <si>
    <t>f</t>
    <phoneticPr fontId="1"/>
  </si>
  <si>
    <t>title</t>
    <phoneticPr fontId="1"/>
  </si>
  <si>
    <t>ｆ</t>
    <phoneticPr fontId="1"/>
  </si>
  <si>
    <t>黄</t>
    <rPh sb="0" eb="1">
      <t>キ</t>
    </rPh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</si>
  <si>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</si>
  <si>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</si>
  <si>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橙</t>
    <rPh sb="0" eb="1">
      <t>ダイダイ</t>
    </rPh>
    <phoneticPr fontId="1"/>
  </si>
  <si>
    <t>紫</t>
    <rPh sb="0" eb="1">
      <t>ムラサキ</t>
    </rPh>
    <phoneticPr fontId="1"/>
  </si>
  <si>
    <t>灰</t>
    <rPh sb="0" eb="1">
      <t>ハイ</t>
    </rPh>
    <phoneticPr fontId="1"/>
  </si>
  <si>
    <t>値</t>
  </si>
  <si>
    <t>xl3DArea</t>
  </si>
  <si>
    <t>3-D 面</t>
  </si>
  <si>
    <t>3-D 積み上げ面</t>
  </si>
  <si>
    <t>xl3DAreaStacked100</t>
  </si>
  <si>
    <t>100% 積み上げ面</t>
  </si>
  <si>
    <t>xl3DBarClustered</t>
  </si>
  <si>
    <t>3-D 集合横棒</t>
  </si>
  <si>
    <t>xl3DBarStacked</t>
  </si>
  <si>
    <t>3-D 積み上げ横棒</t>
  </si>
  <si>
    <t>xl3DBarStacked100</t>
  </si>
  <si>
    <t>3-D 100% 積み上げ横棒</t>
  </si>
  <si>
    <t>xl3DColumn</t>
  </si>
  <si>
    <t>3-D 縦棒</t>
  </si>
  <si>
    <t>xl3DColumnClustered</t>
  </si>
  <si>
    <t>3-D 集合縦棒</t>
  </si>
  <si>
    <t>xl3DColumnStacked</t>
  </si>
  <si>
    <t>3-D 積み上げ縦棒</t>
  </si>
  <si>
    <t>xl3DColumnStacked100</t>
  </si>
  <si>
    <t>3-D 100% 積み上げ縦棒</t>
  </si>
  <si>
    <t>xl3DLine</t>
  </si>
  <si>
    <t>3-D 折れ線</t>
  </si>
  <si>
    <t>xl3DPie</t>
  </si>
  <si>
    <t>3-D 円</t>
  </si>
  <si>
    <t>xl3DPieExploded</t>
  </si>
  <si>
    <t>分割 3-D 円</t>
  </si>
  <si>
    <t>xlArea</t>
  </si>
  <si>
    <t>積み上げ面</t>
  </si>
  <si>
    <t>xlAreaStacked100</t>
  </si>
  <si>
    <t>xlBarClustered</t>
  </si>
  <si>
    <t>集合横棒</t>
  </si>
  <si>
    <t>xlBarOfPie</t>
  </si>
  <si>
    <t>補助縦棒グラフ付き円</t>
  </si>
  <si>
    <t>xlBarStacked</t>
  </si>
  <si>
    <t>積み上げ横棒</t>
  </si>
  <si>
    <t>xlBarStacked100</t>
  </si>
  <si>
    <t>xlBubble</t>
  </si>
  <si>
    <t>バブル</t>
  </si>
  <si>
    <t>xlBubble3DEffect</t>
  </si>
  <si>
    <t>3-D 効果付きバブル</t>
  </si>
  <si>
    <t>xlColumnClustered</t>
  </si>
  <si>
    <t>集合縦棒</t>
  </si>
  <si>
    <t>積み上げ縦棒</t>
  </si>
  <si>
    <t>xlColumnStacked100</t>
  </si>
  <si>
    <t>100% 積み上げ縦棒</t>
  </si>
  <si>
    <t>xlConeBarClustered</t>
  </si>
  <si>
    <t>集合円錐型横棒</t>
  </si>
  <si>
    <t>xlConeBarStacked</t>
  </si>
  <si>
    <t>積み上げ円錐型横棒</t>
  </si>
  <si>
    <t>xlConeBarStacked100</t>
  </si>
  <si>
    <t>100% 積み上げ円錐型横棒</t>
  </si>
  <si>
    <t>xlConeCol</t>
  </si>
  <si>
    <t>3-D 円錐型縦棒</t>
  </si>
  <si>
    <t>xlConeColClustered</t>
  </si>
  <si>
    <t>集合円錐型縦棒</t>
  </si>
  <si>
    <t>xlConeColStacked</t>
  </si>
  <si>
    <t>積み上げ円錐型縦棒</t>
  </si>
  <si>
    <t>xlConeColStacked100</t>
  </si>
  <si>
    <t>100% 積み上げ円錐型縦棒</t>
  </si>
  <si>
    <t>xlCylinderBarClustered</t>
  </si>
  <si>
    <t>集合円柱型横棒</t>
  </si>
  <si>
    <t>xlCylinderBarStacked</t>
  </si>
  <si>
    <t>積み上げ円柱型横棒</t>
  </si>
  <si>
    <t>xlCylinderBarStacked100</t>
  </si>
  <si>
    <t>100% 積み上げ円柱型横棒</t>
  </si>
  <si>
    <t>xlCylinderCol</t>
  </si>
  <si>
    <t>3-D 円柱型縦棒</t>
  </si>
  <si>
    <t>xlCylinderColClustered</t>
  </si>
  <si>
    <t>xlCylinderColStacked</t>
  </si>
  <si>
    <t>xlCylinderColStacked100</t>
  </si>
  <si>
    <t>100% 積み上げ円柱型縦棒</t>
  </si>
  <si>
    <t>xlDoughnut</t>
  </si>
  <si>
    <t>ドーナツ</t>
  </si>
  <si>
    <t>xlDoughnutExploded</t>
  </si>
  <si>
    <t>分割ドーナツ</t>
  </si>
  <si>
    <t>xlLine</t>
  </si>
  <si>
    <t>折れ線</t>
  </si>
  <si>
    <t>xlLineMarkers</t>
  </si>
  <si>
    <t>マーカー付き折れ線</t>
  </si>
  <si>
    <t>xlLineMarkersStacked</t>
  </si>
  <si>
    <t>マーカー付き積み上げ折れ線</t>
  </si>
  <si>
    <t>xlLineMarkersStacked100</t>
  </si>
  <si>
    <t>マーカー付き 100% 積み上げ折れ線</t>
  </si>
  <si>
    <t>xlLineStacked</t>
  </si>
  <si>
    <t>積み上げ折れ線</t>
  </si>
  <si>
    <t>xlLineStacked100</t>
  </si>
  <si>
    <t>100% 積み上げ折れ線</t>
  </si>
  <si>
    <t>xlPie</t>
  </si>
  <si>
    <t>円</t>
  </si>
  <si>
    <t>xlPieExploded</t>
  </si>
  <si>
    <t>分割円</t>
  </si>
  <si>
    <t>xlPieOfPie</t>
  </si>
  <si>
    <t>補助円グラフ付き円</t>
  </si>
  <si>
    <t>xlPyramidBarClustered</t>
  </si>
  <si>
    <t>集合ピラミッド型横棒</t>
  </si>
  <si>
    <t>xlPyramidBarStacked</t>
  </si>
  <si>
    <t>積み上げピラミッド型横棒</t>
  </si>
  <si>
    <t>xlPyramidBarStacked100</t>
  </si>
  <si>
    <t>100% 積み上げピラミッド型横棒</t>
  </si>
  <si>
    <t>xlPyramidCol</t>
  </si>
  <si>
    <t>3-D ピラミッド型縦棒</t>
  </si>
  <si>
    <t>xlPyramidColClustered</t>
  </si>
  <si>
    <t>集合ピラミッド型縦棒</t>
  </si>
  <si>
    <t>xlPyramidColStacked</t>
  </si>
  <si>
    <t>積み上げピラミッド型縦棒</t>
  </si>
  <si>
    <t>xlPyramidColStacked100</t>
  </si>
  <si>
    <t>xlRadar</t>
  </si>
  <si>
    <t>レーダー</t>
  </si>
  <si>
    <t>塗りつぶしレーダー</t>
  </si>
  <si>
    <t>データ マーカー付きレーダー</t>
  </si>
  <si>
    <t>xlRegionMap</t>
  </si>
  <si>
    <t>マップグラフ。</t>
  </si>
  <si>
    <t>xlStockHLC</t>
  </si>
  <si>
    <t>高値 - 安値 - 終値</t>
  </si>
  <si>
    <t>xlStockOHLC</t>
  </si>
  <si>
    <t>始値 - 高値 - 安値 - 終値</t>
  </si>
  <si>
    <t>xlStockVHLC</t>
  </si>
  <si>
    <t>出来高 - 高値 - 安値 - 終値</t>
  </si>
  <si>
    <t>xlStockVOHLC</t>
  </si>
  <si>
    <t>出来高 - 始値 - 高値 - 安値 - 終値</t>
  </si>
  <si>
    <t>xlSurface</t>
  </si>
  <si>
    <t>3-D 表面</t>
  </si>
  <si>
    <t>xlSurfaceTopView</t>
  </si>
  <si>
    <t>表面 (トップ ビュー)</t>
  </si>
  <si>
    <t>xlSurfaceTopViewWireframe</t>
  </si>
  <si>
    <t>表面 (トップ ビュー - ワイヤーフレーム)</t>
  </si>
  <si>
    <t>xlSurfaceWireframe</t>
  </si>
  <si>
    <t>3-D 表面 (ワイヤーフレーム)</t>
  </si>
  <si>
    <t>xlXYScatter</t>
  </si>
  <si>
    <t>散布図</t>
  </si>
  <si>
    <t>xlXYScatterLines</t>
  </si>
  <si>
    <t>折れ線付き散布図</t>
  </si>
  <si>
    <t>xlXYScatterLinesNoMarkers</t>
  </si>
  <si>
    <t>折れ線付き散布図 (データ マーカーなし)</t>
  </si>
  <si>
    <t>xlXYScatterSmooth</t>
  </si>
  <si>
    <t>平滑線付き散布図</t>
  </si>
  <si>
    <t>xlXYScatterSmoothNoMarkers</t>
  </si>
  <si>
    <t>平滑線付き散布図 (データ マーカーなし)</t>
  </si>
  <si>
    <t>定数</t>
  </si>
  <si>
    <t>意味</t>
  </si>
  <si>
    <t>面</t>
  </si>
  <si>
    <t>xlAreaStacked</t>
  </si>
  <si>
    <t>xlRadarFilled</t>
  </si>
  <si>
    <t>xlRadarMarkers</t>
  </si>
  <si>
    <t>★</t>
    <phoneticPr fontId="1"/>
  </si>
  <si>
    <t>profile name</t>
    <phoneticPr fontId="1"/>
  </si>
  <si>
    <t>xlColumnStacked</t>
    <phoneticPr fontId="1"/>
  </si>
  <si>
    <t>＋</t>
  </si>
  <si>
    <t>右</t>
  </si>
  <si>
    <t>C:\Users\server1\Documents\excelマクロ</t>
  </si>
  <si>
    <t>濃い赤</t>
  </si>
  <si>
    <t>濃い赤</t>
    <rPh sb="0" eb="1">
      <t>コ</t>
    </rPh>
    <rPh sb="2" eb="3">
      <t>アカ</t>
    </rPh>
    <phoneticPr fontId="1"/>
  </si>
  <si>
    <t>薄い青</t>
    <rPh sb="0" eb="1">
      <t>ウス</t>
    </rPh>
    <rPh sb="2" eb="3">
      <t>アオ</t>
    </rPh>
    <phoneticPr fontId="1"/>
  </si>
  <si>
    <t>薄い緑</t>
    <rPh sb="0" eb="1">
      <t>ウス</t>
    </rPh>
    <rPh sb="2" eb="3">
      <t>ミドリ</t>
    </rPh>
    <phoneticPr fontId="1"/>
  </si>
  <si>
    <t>濃い青</t>
    <rPh sb="0" eb="1">
      <t>コ</t>
    </rPh>
    <rPh sb="2" eb="3">
      <t>アオ</t>
    </rPh>
    <phoneticPr fontId="1"/>
  </si>
  <si>
    <t>名称</t>
    <rPh sb="0" eb="2">
      <t>メイショウ</t>
    </rPh>
    <phoneticPr fontId="1"/>
  </si>
  <si>
    <t>B</t>
    <phoneticPr fontId="1"/>
  </si>
  <si>
    <t>薄い灰</t>
    <rPh sb="0" eb="1">
      <t>ウス</t>
    </rPh>
    <rPh sb="2" eb="3">
      <t>ハイ</t>
    </rPh>
    <phoneticPr fontId="1"/>
  </si>
  <si>
    <t>アクセント1</t>
  </si>
  <si>
    <t>アクセント2</t>
  </si>
  <si>
    <t>アクセント3</t>
  </si>
  <si>
    <t>アクセント4</t>
  </si>
  <si>
    <t>アクセント5</t>
  </si>
  <si>
    <t>アクセント6</t>
  </si>
  <si>
    <t>xl3DAreaStacked</t>
    <phoneticPr fontId="1"/>
  </si>
  <si>
    <t>R/mso</t>
    <phoneticPr fontId="1"/>
  </si>
  <si>
    <t>G/</t>
    <phoneticPr fontId="1"/>
  </si>
  <si>
    <t>RGB</t>
    <phoneticPr fontId="1"/>
  </si>
  <si>
    <t>ObjectThemeColor</t>
    <phoneticPr fontId="1"/>
  </si>
  <si>
    <t>アクセント1,白 80%</t>
    <rPh sb="7" eb="8">
      <t>シロ</t>
    </rPh>
    <phoneticPr fontId="1"/>
  </si>
  <si>
    <t>アクセント1,白 60%</t>
    <rPh sb="7" eb="8">
      <t>シロ</t>
    </rPh>
    <phoneticPr fontId="1"/>
  </si>
  <si>
    <t>アクセント1,白 40%</t>
    <rPh sb="7" eb="8">
      <t>シロ</t>
    </rPh>
    <phoneticPr fontId="1"/>
  </si>
  <si>
    <t>アクセント1,黒 25%</t>
    <rPh sb="7" eb="8">
      <t>クロ</t>
    </rPh>
    <phoneticPr fontId="1"/>
  </si>
  <si>
    <t>アクセント1,黒 50%</t>
    <rPh sb="7" eb="8">
      <t>クロ</t>
    </rPh>
    <phoneticPr fontId="1"/>
  </si>
  <si>
    <t>msoThemeColorAccent1</t>
    <phoneticPr fontId="1"/>
  </si>
  <si>
    <t>msoThemeColorAccent2</t>
  </si>
  <si>
    <t>アクセント2,白 80%</t>
    <rPh sb="7" eb="8">
      <t>シロ</t>
    </rPh>
    <phoneticPr fontId="1"/>
  </si>
  <si>
    <t>アクセント2,白 60%</t>
    <rPh sb="7" eb="8">
      <t>シロ</t>
    </rPh>
    <phoneticPr fontId="1"/>
  </si>
  <si>
    <t>アクセント2,白 40%</t>
    <rPh sb="7" eb="8">
      <t>シロ</t>
    </rPh>
    <phoneticPr fontId="1"/>
  </si>
  <si>
    <t>アクセント2,黒 25%</t>
    <rPh sb="7" eb="8">
      <t>クロ</t>
    </rPh>
    <phoneticPr fontId="1"/>
  </si>
  <si>
    <t>アクセント2,黒 50%</t>
    <rPh sb="7" eb="8">
      <t>クロ</t>
    </rPh>
    <phoneticPr fontId="1"/>
  </si>
  <si>
    <t>msoThemeColorAccent3</t>
  </si>
  <si>
    <t>アクセント3,白 80%</t>
    <rPh sb="7" eb="8">
      <t>シロ</t>
    </rPh>
    <phoneticPr fontId="1"/>
  </si>
  <si>
    <t>アクセント3,白 60%</t>
    <rPh sb="7" eb="8">
      <t>シロ</t>
    </rPh>
    <phoneticPr fontId="1"/>
  </si>
  <si>
    <t>アクセント3,白 40%</t>
    <rPh sb="7" eb="8">
      <t>シロ</t>
    </rPh>
    <phoneticPr fontId="1"/>
  </si>
  <si>
    <t>アクセント3,黒 25%</t>
    <rPh sb="7" eb="8">
      <t>クロ</t>
    </rPh>
    <phoneticPr fontId="1"/>
  </si>
  <si>
    <t>アクセント3,黒 50%</t>
    <rPh sb="7" eb="8">
      <t>クロ</t>
    </rPh>
    <phoneticPr fontId="1"/>
  </si>
  <si>
    <t>msoThemeColorAccent4</t>
  </si>
  <si>
    <t>アクセント4,白 80%</t>
    <rPh sb="7" eb="8">
      <t>シロ</t>
    </rPh>
    <phoneticPr fontId="1"/>
  </si>
  <si>
    <t>アクセント4,白 60%</t>
    <rPh sb="7" eb="8">
      <t>シロ</t>
    </rPh>
    <phoneticPr fontId="1"/>
  </si>
  <si>
    <t>アクセント4,白 40%</t>
    <rPh sb="7" eb="8">
      <t>シロ</t>
    </rPh>
    <phoneticPr fontId="1"/>
  </si>
  <si>
    <t>アクセント4,黒 25%</t>
    <rPh sb="7" eb="8">
      <t>クロ</t>
    </rPh>
    <phoneticPr fontId="1"/>
  </si>
  <si>
    <t>アクセント4,黒 50%</t>
    <rPh sb="7" eb="8">
      <t>クロ</t>
    </rPh>
    <phoneticPr fontId="1"/>
  </si>
  <si>
    <t>msoThemeColorAccent5</t>
  </si>
  <si>
    <t>アクセント5,白 80%</t>
    <rPh sb="7" eb="8">
      <t>シロ</t>
    </rPh>
    <phoneticPr fontId="1"/>
  </si>
  <si>
    <t>アクセント5,白 60%</t>
    <rPh sb="7" eb="8">
      <t>シロ</t>
    </rPh>
    <phoneticPr fontId="1"/>
  </si>
  <si>
    <t>アクセント5,白 40%</t>
    <rPh sb="7" eb="8">
      <t>シロ</t>
    </rPh>
    <phoneticPr fontId="1"/>
  </si>
  <si>
    <t>アクセント5,黒 25%</t>
    <rPh sb="7" eb="8">
      <t>クロ</t>
    </rPh>
    <phoneticPr fontId="1"/>
  </si>
  <si>
    <t>アクセント5,黒 50%</t>
    <rPh sb="7" eb="8">
      <t>クロ</t>
    </rPh>
    <phoneticPr fontId="1"/>
  </si>
  <si>
    <t>msoThemeColorAccent6</t>
  </si>
  <si>
    <t>アクセント6,白 80%</t>
    <rPh sb="7" eb="8">
      <t>シロ</t>
    </rPh>
    <phoneticPr fontId="1"/>
  </si>
  <si>
    <t>アクセント6,白 60%</t>
    <rPh sb="7" eb="8">
      <t>シロ</t>
    </rPh>
    <phoneticPr fontId="1"/>
  </si>
  <si>
    <t>アクセント6,白 40%</t>
    <rPh sb="7" eb="8">
      <t>シロ</t>
    </rPh>
    <phoneticPr fontId="1"/>
  </si>
  <si>
    <t>アクセント6,黒 25%</t>
    <rPh sb="7" eb="8">
      <t>クロ</t>
    </rPh>
    <phoneticPr fontId="1"/>
  </si>
  <si>
    <t>アクセント6,黒 50%</t>
    <rPh sb="7" eb="8">
      <t>クロ</t>
    </rPh>
    <phoneticPr fontId="1"/>
  </si>
  <si>
    <t>経過時間[sec]</t>
  </si>
  <si>
    <t>スループット[bps]</t>
  </si>
  <si>
    <t>↓</t>
  </si>
  <si>
    <t>変数</t>
    <rPh sb="0" eb="2">
      <t>ヘンスウ</t>
    </rPh>
    <phoneticPr fontId="1"/>
  </si>
  <si>
    <t>100% 積み上げ横棒</t>
    <phoneticPr fontId="1"/>
  </si>
  <si>
    <t>赤</t>
    <rPh sb="0" eb="1">
      <t>アカ</t>
    </rPh>
    <phoneticPr fontId="1"/>
  </si>
  <si>
    <t>E11</t>
  </si>
  <si>
    <t>=</t>
  </si>
  <si>
    <t>RTT散布図</t>
    <phoneticPr fontId="1"/>
  </si>
  <si>
    <t>＋</t>
    <phoneticPr fontId="1"/>
  </si>
  <si>
    <t>下</t>
    <phoneticPr fontId="1"/>
  </si>
  <si>
    <t>=</t>
    <phoneticPr fontId="1"/>
  </si>
  <si>
    <t>経過時間[sec]</t>
    <phoneticPr fontId="1"/>
  </si>
  <si>
    <t>RTT[ns]</t>
    <phoneticPr fontId="1"/>
  </si>
  <si>
    <t>B20</t>
    <phoneticPr fontId="1"/>
  </si>
  <si>
    <t>↓</t>
    <phoneticPr fontId="1"/>
  </si>
  <si>
    <t>a</t>
  </si>
  <si>
    <t>RTT正規分布</t>
    <phoneticPr fontId="1"/>
  </si>
  <si>
    <t>＋</t>
    <phoneticPr fontId="1"/>
  </si>
  <si>
    <t>下</t>
    <phoneticPr fontId="1"/>
  </si>
  <si>
    <t>=</t>
    <phoneticPr fontId="1"/>
  </si>
  <si>
    <t>RTT[ns]</t>
    <phoneticPr fontId="1"/>
  </si>
  <si>
    <t>度数</t>
    <phoneticPr fontId="1"/>
  </si>
  <si>
    <t>B20</t>
    <phoneticPr fontId="1"/>
  </si>
  <si>
    <t>↓</t>
    <phoneticPr fontId="1"/>
  </si>
  <si>
    <t>グラフ名</t>
  </si>
  <si>
    <t>グラフタイトル</t>
  </si>
  <si>
    <t>グラフ種類</t>
  </si>
  <si>
    <t>幅</t>
  </si>
  <si>
    <t>高さ</t>
  </si>
  <si>
    <t>横軸最小</t>
  </si>
  <si>
    <t>横軸最大</t>
  </si>
  <si>
    <t>縦軸最小</t>
  </si>
  <si>
    <t>縦軸最大</t>
  </si>
  <si>
    <t>ログ2まとめ</t>
    <phoneticPr fontId="1"/>
  </si>
  <si>
    <t>＋</t>
    <phoneticPr fontId="1"/>
  </si>
  <si>
    <t>右</t>
    <phoneticPr fontId="1"/>
  </si>
  <si>
    <t>=</t>
    <phoneticPr fontId="1"/>
  </si>
  <si>
    <t>経過時間[sec]</t>
    <phoneticPr fontId="1"/>
  </si>
  <si>
    <t>RTT[ns]</t>
    <phoneticPr fontId="1"/>
  </si>
  <si>
    <t>E11</t>
    <phoneticPr fontId="1"/>
  </si>
  <si>
    <t>↓</t>
    <phoneticPr fontId="1"/>
  </si>
  <si>
    <t>xlUnkown</t>
    <phoneticPr fontId="1"/>
  </si>
  <si>
    <t>くっついたやつ</t>
    <phoneticPr fontId="1"/>
  </si>
  <si>
    <t>↓</t>
    <phoneticPr fontId="1"/>
  </si>
  <si>
    <t>MHI 10周　配置</t>
    <phoneticPr fontId="1"/>
  </si>
  <si>
    <t>●</t>
    <phoneticPr fontId="1"/>
  </si>
  <si>
    <t>右</t>
    <phoneticPr fontId="1"/>
  </si>
  <si>
    <t>=</t>
    <phoneticPr fontId="1"/>
  </si>
  <si>
    <t>=</t>
    <phoneticPr fontId="1"/>
  </si>
  <si>
    <t>X軸[m]</t>
    <phoneticPr fontId="1"/>
  </si>
  <si>
    <t>Y軸[m]</t>
    <phoneticPr fontId="1"/>
  </si>
  <si>
    <t>E11</t>
    <phoneticPr fontId="1"/>
  </si>
  <si>
    <t>=</t>
    <phoneticPr fontId="1"/>
  </si>
  <si>
    <t>=</t>
    <phoneticPr fontId="1"/>
  </si>
  <si>
    <t>=</t>
    <phoneticPr fontId="1"/>
  </si>
  <si>
    <t>右</t>
    <phoneticPr fontId="1"/>
  </si>
  <si>
    <t>=</t>
    <phoneticPr fontId="1"/>
  </si>
  <si>
    <t>Y軸[m]</t>
    <phoneticPr fontId="1"/>
  </si>
  <si>
    <t>E11</t>
    <phoneticPr fontId="1"/>
  </si>
  <si>
    <t>=</t>
    <phoneticPr fontId="1"/>
  </si>
  <si>
    <t>MHI 10周　配置2016</t>
    <phoneticPr fontId="1"/>
  </si>
  <si>
    <t>●</t>
    <phoneticPr fontId="1"/>
  </si>
  <si>
    <t>=</t>
    <phoneticPr fontId="1"/>
  </si>
  <si>
    <t>=</t>
    <phoneticPr fontId="1"/>
  </si>
  <si>
    <t>X軸[m]</t>
    <phoneticPr fontId="1"/>
  </si>
  <si>
    <t>↓</t>
    <phoneticPr fontId="1"/>
  </si>
  <si>
    <t>zCheckBox1</t>
    <phoneticPr fontId="1"/>
  </si>
  <si>
    <t>Chart 1</t>
  </si>
  <si>
    <t>Chart 2</t>
  </si>
  <si>
    <t>グラフ タイトル</t>
  </si>
  <si>
    <t>zCheckBox3</t>
    <phoneticPr fontId="1"/>
  </si>
  <si>
    <t>bComboBox5</t>
    <phoneticPr fontId="1"/>
  </si>
  <si>
    <t>eComboBox1</t>
    <phoneticPr fontId="1"/>
  </si>
  <si>
    <t>fComboBox3</t>
    <phoneticPr fontId="1"/>
  </si>
  <si>
    <t>fComboBox4</t>
    <phoneticPr fontId="1"/>
  </si>
  <si>
    <t>fComboBox5</t>
    <phoneticPr fontId="1"/>
  </si>
  <si>
    <t>fComboBox6</t>
    <phoneticPr fontId="1"/>
  </si>
  <si>
    <t>fComboBox7</t>
    <phoneticPr fontId="1"/>
  </si>
  <si>
    <t>fComboBox8</t>
    <phoneticPr fontId="1"/>
  </si>
  <si>
    <t>fComboBox9</t>
    <phoneticPr fontId="1"/>
  </si>
  <si>
    <t>fComboBox10</t>
    <phoneticPr fontId="1"/>
  </si>
  <si>
    <t>CheckBox20</t>
    <phoneticPr fontId="1"/>
  </si>
  <si>
    <t>zCheckBox4</t>
    <phoneticPr fontId="1"/>
  </si>
  <si>
    <t>Chart 3</t>
  </si>
  <si>
    <t>Chart 4</t>
  </si>
  <si>
    <t>Chart 5</t>
  </si>
  <si>
    <t>Chart 6</t>
  </si>
  <si>
    <t>Chart 7</t>
  </si>
  <si>
    <t>Chart 8</t>
  </si>
  <si>
    <t>Chart 9</t>
  </si>
  <si>
    <t>Chart 10</t>
  </si>
  <si>
    <t>CheckBox4</t>
    <phoneticPr fontId="1"/>
  </si>
  <si>
    <t>dComboBox1</t>
    <phoneticPr fontId="1"/>
  </si>
  <si>
    <t>bCheckBox2</t>
    <phoneticPr fontId="1"/>
  </si>
  <si>
    <t>bComboBox2</t>
    <phoneticPr fontId="1"/>
  </si>
  <si>
    <t>bComboBox1</t>
    <phoneticPr fontId="1"/>
  </si>
  <si>
    <t>bComboBox3</t>
    <phoneticPr fontId="1"/>
  </si>
  <si>
    <t>cComboBox1</t>
    <phoneticPr fontId="1"/>
  </si>
  <si>
    <t>cComboBox2</t>
    <phoneticPr fontId="1"/>
  </si>
  <si>
    <t>ComboBox21</t>
    <phoneticPr fontId="1"/>
  </si>
  <si>
    <t>aComboBox1</t>
    <phoneticPr fontId="1"/>
  </si>
  <si>
    <t>aComboBox2</t>
    <phoneticPr fontId="1"/>
  </si>
  <si>
    <t>aComboBox3</t>
    <phoneticPr fontId="1"/>
  </si>
  <si>
    <t>aComboBox4</t>
    <phoneticPr fontId="1"/>
  </si>
  <si>
    <t>aComboBox5</t>
    <phoneticPr fontId="1"/>
  </si>
  <si>
    <t>aComboBox6</t>
    <phoneticPr fontId="1"/>
  </si>
  <si>
    <t>aComboBox7</t>
    <phoneticPr fontId="1"/>
  </si>
  <si>
    <t>gCheckBox1</t>
    <phoneticPr fontId="1"/>
  </si>
  <si>
    <t>bCheckBox1</t>
    <phoneticPr fontId="1"/>
  </si>
  <si>
    <t>CheckBox17</t>
    <phoneticPr fontId="1"/>
  </si>
  <si>
    <t>aCheckBox1</t>
    <phoneticPr fontId="1"/>
  </si>
  <si>
    <t>CheckBox20</t>
    <phoneticPr fontId="1"/>
  </si>
  <si>
    <t>zCheckBox4</t>
    <phoneticPr fontId="1"/>
  </si>
  <si>
    <t>zCheckBox5</t>
    <phoneticPr fontId="1"/>
  </si>
  <si>
    <t>CheckBox5</t>
    <phoneticPr fontId="1"/>
  </si>
  <si>
    <t>gComboBox1</t>
    <phoneticPr fontId="1"/>
  </si>
  <si>
    <t>bComboBox4</t>
    <phoneticPr fontId="1"/>
  </si>
  <si>
    <t>bComboBox6</t>
    <phoneticPr fontId="1"/>
  </si>
  <si>
    <t>茶1</t>
    <rPh sb="0" eb="1">
      <t>チャ</t>
    </rPh>
    <phoneticPr fontId="1"/>
  </si>
  <si>
    <t>赤2</t>
    <rPh sb="0" eb="1">
      <t>アカ</t>
    </rPh>
    <phoneticPr fontId="1"/>
  </si>
  <si>
    <t>赤1</t>
    <rPh sb="0" eb="1">
      <t>アカ</t>
    </rPh>
    <phoneticPr fontId="1"/>
  </si>
  <si>
    <t>橙1</t>
    <rPh sb="0" eb="1">
      <t>ダイダイ</t>
    </rPh>
    <phoneticPr fontId="1"/>
  </si>
  <si>
    <t>黄1</t>
    <rPh sb="0" eb="1">
      <t>キ</t>
    </rPh>
    <phoneticPr fontId="1"/>
  </si>
  <si>
    <t>緑1</t>
    <rPh sb="0" eb="1">
      <t>ミドリ</t>
    </rPh>
    <phoneticPr fontId="1"/>
  </si>
  <si>
    <t>青1</t>
    <rPh sb="0" eb="1">
      <t>アオ</t>
    </rPh>
    <phoneticPr fontId="1"/>
  </si>
  <si>
    <t>藍1</t>
    <rPh sb="0" eb="1">
      <t>アイ</t>
    </rPh>
    <phoneticPr fontId="1"/>
  </si>
  <si>
    <t>紫1</t>
    <rPh sb="0" eb="1">
      <t>ムラサキ</t>
    </rPh>
    <phoneticPr fontId="1"/>
  </si>
  <si>
    <t>灰1</t>
    <rPh sb="0" eb="1">
      <t>ハイ</t>
    </rPh>
    <phoneticPr fontId="1"/>
  </si>
  <si>
    <t>白1</t>
    <rPh sb="0" eb="1">
      <t>シロ</t>
    </rPh>
    <phoneticPr fontId="1"/>
  </si>
  <si>
    <t>黒1</t>
    <rPh sb="0" eb="1">
      <t>クロ</t>
    </rPh>
    <phoneticPr fontId="1"/>
  </si>
  <si>
    <t>茶2</t>
    <rPh sb="0" eb="1">
      <t>チャ</t>
    </rPh>
    <phoneticPr fontId="1"/>
  </si>
  <si>
    <t>橙2</t>
    <rPh sb="0" eb="1">
      <t>ダイダイ</t>
    </rPh>
    <phoneticPr fontId="1"/>
  </si>
  <si>
    <t>黄2</t>
    <rPh sb="0" eb="1">
      <t>キ</t>
    </rPh>
    <phoneticPr fontId="1"/>
  </si>
  <si>
    <t>緑2</t>
    <rPh sb="0" eb="1">
      <t>ミドリ</t>
    </rPh>
    <phoneticPr fontId="1"/>
  </si>
  <si>
    <t>青2</t>
    <rPh sb="0" eb="1">
      <t>アオ</t>
    </rPh>
    <phoneticPr fontId="1"/>
  </si>
  <si>
    <t>藍2</t>
    <rPh sb="0" eb="1">
      <t>アイ</t>
    </rPh>
    <phoneticPr fontId="1"/>
  </si>
  <si>
    <t>紫2</t>
    <rPh sb="0" eb="1">
      <t>ムラサキ</t>
    </rPh>
    <phoneticPr fontId="1"/>
  </si>
  <si>
    <t>灰2</t>
    <rPh sb="0" eb="1">
      <t>ハイ</t>
    </rPh>
    <phoneticPr fontId="1"/>
  </si>
  <si>
    <t>白2</t>
    <rPh sb="0" eb="1">
      <t>シロ</t>
    </rPh>
    <phoneticPr fontId="1"/>
  </si>
  <si>
    <t>黒2</t>
    <rPh sb="0" eb="1">
      <t>クロ</t>
    </rPh>
    <phoneticPr fontId="1"/>
  </si>
  <si>
    <t>00</t>
    <phoneticPr fontId="1"/>
  </si>
  <si>
    <t>vbred</t>
    <phoneticPr fontId="1"/>
  </si>
  <si>
    <t>0x0000FF</t>
    <phoneticPr fontId="1"/>
  </si>
  <si>
    <t>vbblue</t>
    <phoneticPr fontId="1"/>
  </si>
  <si>
    <t>vbcyan</t>
    <phoneticPr fontId="1"/>
  </si>
  <si>
    <t>0x00ffff</t>
    <phoneticPr fontId="1"/>
  </si>
  <si>
    <t>vbgreen</t>
    <phoneticPr fontId="1"/>
  </si>
  <si>
    <t>0x00ff00</t>
    <phoneticPr fontId="1"/>
  </si>
  <si>
    <t>vbmagenta</t>
    <phoneticPr fontId="1"/>
  </si>
  <si>
    <t>0xff00ff</t>
    <phoneticPr fontId="1"/>
  </si>
  <si>
    <t>vbblack</t>
    <phoneticPr fontId="1"/>
  </si>
  <si>
    <t>0x000000</t>
    <phoneticPr fontId="1"/>
  </si>
  <si>
    <t>vbwhite</t>
    <phoneticPr fontId="1"/>
  </si>
  <si>
    <t>0xffffff</t>
    <phoneticPr fontId="1"/>
  </si>
  <si>
    <t>vbyellow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</si>
</sst>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_ "/>
    <numFmt numFmtId="178" formatCode="0.000"/>
  </numFmts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rgb="FF990000"/>
      <name val="Arial Unicode MS"/>
      <family val="3"/>
      <charset val="128"/>
    </font>
    <font>
      <sz val="10"/>
      <color theme="1"/>
      <name val="Arial Unicode MS"/>
      <family val="3"/>
      <charset val="128"/>
    </font>
    <font>
      <u/>
      <sz val="11"/>
      <color theme="10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77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178" fontId="0" fillId="0" borderId="0" xfId="0" applyNumberFormat="1">
      <alignment vertical="center"/>
    </xf>
    <xf numFmtId="0" fontId="0" fillId="0" borderId="0" xfId="0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お試し!$D$21</c:f>
              <c:strCache>
                <c:ptCount val="1"/>
                <c:pt idx="0">
                  <c:v>茶1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お試し!$D$22:$D$31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05-4204-922A-45FE345BE9AC}"/>
            </c:ext>
          </c:extLst>
        </c:ser>
        <c:ser>
          <c:idx val="1"/>
          <c:order val="1"/>
          <c:tx>
            <c:strRef>
              <c:f>お試し!$E$21</c:f>
              <c:strCache>
                <c:ptCount val="1"/>
                <c:pt idx="0">
                  <c:v>赤1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お試し!$E$22:$E$31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05-4204-922A-45FE345BE9AC}"/>
            </c:ext>
          </c:extLst>
        </c:ser>
        <c:ser>
          <c:idx val="2"/>
          <c:order val="2"/>
          <c:tx>
            <c:strRef>
              <c:f>お試し!$F$21</c:f>
              <c:strCache>
                <c:ptCount val="1"/>
                <c:pt idx="0">
                  <c:v>橙1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お試し!$F$22:$F$31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05-4204-922A-45FE345BE9AC}"/>
            </c:ext>
          </c:extLst>
        </c:ser>
        <c:ser>
          <c:idx val="3"/>
          <c:order val="3"/>
          <c:tx>
            <c:strRef>
              <c:f>お試し!$G$21</c:f>
              <c:strCache>
                <c:ptCount val="1"/>
                <c:pt idx="0">
                  <c:v>黄1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お試し!$G$22:$G$31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05-4204-922A-45FE345BE9AC}"/>
            </c:ext>
          </c:extLst>
        </c:ser>
        <c:ser>
          <c:idx val="4"/>
          <c:order val="4"/>
          <c:tx>
            <c:strRef>
              <c:f>お試し!$H$21</c:f>
              <c:strCache>
                <c:ptCount val="1"/>
                <c:pt idx="0">
                  <c:v>緑1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お試し!$H$22:$H$31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05-4204-922A-45FE345BE9AC}"/>
            </c:ext>
          </c:extLst>
        </c:ser>
        <c:ser>
          <c:idx val="5"/>
          <c:order val="5"/>
          <c:tx>
            <c:strRef>
              <c:f>お試し!$I$21</c:f>
              <c:strCache>
                <c:ptCount val="1"/>
                <c:pt idx="0">
                  <c:v>青1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お試し!$I$22:$I$31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05-4204-922A-45FE345BE9AC}"/>
            </c:ext>
          </c:extLst>
        </c:ser>
        <c:ser>
          <c:idx val="6"/>
          <c:order val="6"/>
          <c:tx>
            <c:strRef>
              <c:f>お試し!$J$21</c:f>
              <c:strCache>
                <c:ptCount val="1"/>
                <c:pt idx="0">
                  <c:v>藍1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お試し!$J$22:$J$31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05-4204-922A-45FE345BE9AC}"/>
            </c:ext>
          </c:extLst>
        </c:ser>
        <c:ser>
          <c:idx val="7"/>
          <c:order val="7"/>
          <c:tx>
            <c:strRef>
              <c:f>お試し!$K$21</c:f>
              <c:strCache>
                <c:ptCount val="1"/>
                <c:pt idx="0">
                  <c:v>紫1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お試し!$K$22:$K$31</c:f>
              <c:numCache>
                <c:formatCode>General</c:formatCode>
                <c:ptCount val="10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05-4204-922A-45FE345BE9AC}"/>
            </c:ext>
          </c:extLst>
        </c:ser>
        <c:ser>
          <c:idx val="8"/>
          <c:order val="8"/>
          <c:tx>
            <c:strRef>
              <c:f>お試し!$L$21</c:f>
              <c:strCache>
                <c:ptCount val="1"/>
                <c:pt idx="0">
                  <c:v>灰1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お試し!$L$22:$L$31</c:f>
              <c:numCache>
                <c:formatCode>General</c:formatCode>
                <c:ptCount val="1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05-4204-922A-45FE345BE9AC}"/>
            </c:ext>
          </c:extLst>
        </c:ser>
        <c:ser>
          <c:idx val="9"/>
          <c:order val="9"/>
          <c:tx>
            <c:strRef>
              <c:f>お試し!$M$21</c:f>
              <c:strCache>
                <c:ptCount val="1"/>
                <c:pt idx="0">
                  <c:v>白1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お試し!$M$22:$M$31</c:f>
              <c:numCache>
                <c:formatCode>General</c:formatCode>
                <c:ptCount val="1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05-4204-922A-45FE345BE9AC}"/>
            </c:ext>
          </c:extLst>
        </c:ser>
        <c:ser>
          <c:idx val="10"/>
          <c:order val="10"/>
          <c:tx>
            <c:strRef>
              <c:f>お試し!$N$21</c:f>
              <c:strCache>
                <c:ptCount val="1"/>
                <c:pt idx="0">
                  <c:v>黒1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お試し!$N$22:$N$31</c:f>
              <c:numCache>
                <c:formatCode>General</c:formatCode>
                <c:ptCount val="1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05-4204-922A-45FE345BE9AC}"/>
            </c:ext>
          </c:extLst>
        </c:ser>
        <c:ser>
          <c:idx val="11"/>
          <c:order val="11"/>
          <c:tx>
            <c:strRef>
              <c:f>お試し!$O$21</c:f>
              <c:strCache>
                <c:ptCount val="1"/>
                <c:pt idx="0">
                  <c:v>茶2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お試し!$O$22:$O$31</c:f>
              <c:numCache>
                <c:formatCode>General</c:formatCode>
                <c:ptCount val="1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305-4204-922A-45FE345BE9AC}"/>
            </c:ext>
          </c:extLst>
        </c:ser>
        <c:ser>
          <c:idx val="12"/>
          <c:order val="12"/>
          <c:tx>
            <c:strRef>
              <c:f>お試し!$P$21</c:f>
              <c:strCache>
                <c:ptCount val="1"/>
                <c:pt idx="0">
                  <c:v>赤2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お試し!$P$22:$P$31</c:f>
              <c:numCache>
                <c:formatCode>General</c:formatCode>
                <c:ptCount val="1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305-4204-922A-45FE345BE9AC}"/>
            </c:ext>
          </c:extLst>
        </c:ser>
        <c:ser>
          <c:idx val="13"/>
          <c:order val="13"/>
          <c:tx>
            <c:strRef>
              <c:f>お試し!$Q$21</c:f>
              <c:strCache>
                <c:ptCount val="1"/>
                <c:pt idx="0">
                  <c:v>橙2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お試し!$Q$22:$Q$31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305-4204-922A-45FE345BE9AC}"/>
            </c:ext>
          </c:extLst>
        </c:ser>
        <c:ser>
          <c:idx val="14"/>
          <c:order val="14"/>
          <c:tx>
            <c:strRef>
              <c:f>お試し!$R$21</c:f>
              <c:strCache>
                <c:ptCount val="1"/>
                <c:pt idx="0">
                  <c:v>黄2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お試し!$R$22:$R$31</c:f>
              <c:numCache>
                <c:formatCode>General</c:formatCode>
                <c:ptCount val="1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305-4204-922A-45FE345BE9AC}"/>
            </c:ext>
          </c:extLst>
        </c:ser>
        <c:ser>
          <c:idx val="15"/>
          <c:order val="15"/>
          <c:tx>
            <c:strRef>
              <c:f>お試し!$S$21</c:f>
              <c:strCache>
                <c:ptCount val="1"/>
                <c:pt idx="0">
                  <c:v>緑2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お試し!$S$22:$S$31</c:f>
              <c:numCache>
                <c:formatCode>General</c:formatCode>
                <c:ptCount val="10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305-4204-922A-45FE345BE9AC}"/>
            </c:ext>
          </c:extLst>
        </c:ser>
        <c:ser>
          <c:idx val="16"/>
          <c:order val="16"/>
          <c:tx>
            <c:strRef>
              <c:f>お試し!$T$21</c:f>
              <c:strCache>
                <c:ptCount val="1"/>
                <c:pt idx="0">
                  <c:v>青2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お試し!$T$22:$T$31</c:f>
              <c:numCache>
                <c:formatCode>General</c:formatCode>
                <c:ptCount val="10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305-4204-922A-45FE345BE9AC}"/>
            </c:ext>
          </c:extLst>
        </c:ser>
        <c:ser>
          <c:idx val="17"/>
          <c:order val="17"/>
          <c:tx>
            <c:strRef>
              <c:f>お試し!$U$21</c:f>
              <c:strCache>
                <c:ptCount val="1"/>
                <c:pt idx="0">
                  <c:v>藍2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お試し!$U$22:$U$31</c:f>
              <c:numCache>
                <c:formatCode>General</c:formatCode>
                <c:ptCount val="1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305-4204-922A-45FE345BE9AC}"/>
            </c:ext>
          </c:extLst>
        </c:ser>
        <c:ser>
          <c:idx val="18"/>
          <c:order val="18"/>
          <c:tx>
            <c:strRef>
              <c:f>お試し!$V$21</c:f>
              <c:strCache>
                <c:ptCount val="1"/>
                <c:pt idx="0">
                  <c:v>紫2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お試し!$V$22:$V$31</c:f>
              <c:numCache>
                <c:formatCode>General</c:formatCode>
                <c:ptCount val="1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305-4204-922A-45FE345BE9AC}"/>
            </c:ext>
          </c:extLst>
        </c:ser>
        <c:ser>
          <c:idx val="19"/>
          <c:order val="19"/>
          <c:tx>
            <c:strRef>
              <c:f>お試し!$W$21</c:f>
              <c:strCache>
                <c:ptCount val="1"/>
                <c:pt idx="0">
                  <c:v>灰2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お試し!$W$22:$W$31</c:f>
              <c:numCache>
                <c:formatCode>General</c:formatCode>
                <c:ptCount val="1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305-4204-922A-45FE345BE9AC}"/>
            </c:ext>
          </c:extLst>
        </c:ser>
        <c:ser>
          <c:idx val="20"/>
          <c:order val="20"/>
          <c:tx>
            <c:strRef>
              <c:f>お試し!$X$21</c:f>
              <c:strCache>
                <c:ptCount val="1"/>
                <c:pt idx="0">
                  <c:v>白2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お試し!$X$22:$X$31</c:f>
              <c:numCache>
                <c:formatCode>General</c:formatCode>
                <c:ptCount val="10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305-4204-922A-45FE345BE9AC}"/>
            </c:ext>
          </c:extLst>
        </c:ser>
        <c:ser>
          <c:idx val="21"/>
          <c:order val="21"/>
          <c:tx>
            <c:strRef>
              <c:f>お試し!$Y$21</c:f>
              <c:strCache>
                <c:ptCount val="1"/>
                <c:pt idx="0">
                  <c:v>黒2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お試し!$C$22:$C$31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お試し!$Y$22:$Y$31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305-4204-922A-45FE345BE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90113112"/>
        <c:axId val="490114424"/>
      </c:lineChart>
      <c:catAx>
        <c:axId val="49011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0114424"/>
        <c:crosses val="autoZero"/>
        <c:auto val="1"/>
        <c:lblAlgn val="ctr"/>
        <c:lblOffset val="100"/>
        <c:noMultiLvlLbl val="0"/>
      </c:catAx>
      <c:valAx>
        <c:axId val="49011442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011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203200</xdr:colOff>
      <xdr:row>0</xdr:row>
      <xdr:rowOff>127000</xdr:rowOff>
    </xdr:from>
    <xdr:to>
      <xdr:col>2</xdr:col>
      <xdr:colOff>152400</xdr:colOff>
      <xdr:row>0</xdr:row>
      <xdr:rowOff>127000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16B4C84-2861-48C1-A04B-70C275A60790}"/>
            </a:ext>
          </a:extLst>
        </xdr:cNvPr>
        <xdr:cNvCxnSpPr/>
      </xdr:nvCxnSpPr>
      <xdr:spPr>
        <a:xfrm>
          <a:off x="889000" y="127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</xdr:row>
      <xdr:rowOff>127000</xdr:rowOff>
    </xdr:from>
    <xdr:to>
      <xdr:col>2</xdr:col>
      <xdr:colOff>152400</xdr:colOff>
      <xdr:row>1</xdr:row>
      <xdr:rowOff>127000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DF457F7-C50F-41E5-8D0D-11A8EC537CA3}"/>
            </a:ext>
          </a:extLst>
        </xdr:cNvPr>
        <xdr:cNvCxnSpPr/>
      </xdr:nvCxnSpPr>
      <xdr:spPr>
        <a:xfrm>
          <a:off x="889000" y="298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</xdr:row>
      <xdr:rowOff>127000</xdr:rowOff>
    </xdr:from>
    <xdr:to>
      <xdr:col>2</xdr:col>
      <xdr:colOff>152400</xdr:colOff>
      <xdr:row>2</xdr:row>
      <xdr:rowOff>127000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AEAA0661-C3F2-4358-931C-A1C4E5608178}"/>
            </a:ext>
          </a:extLst>
        </xdr:cNvPr>
        <xdr:cNvCxnSpPr/>
      </xdr:nvCxnSpPr>
      <xdr:spPr>
        <a:xfrm>
          <a:off x="889000" y="469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00" mc:Ignorable="a14" a14:legacySpreadsheetColorIndex="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</xdr:row>
      <xdr:rowOff>127000</xdr:rowOff>
    </xdr:from>
    <xdr:to>
      <xdr:col>2</xdr:col>
      <xdr:colOff>152400</xdr:colOff>
      <xdr:row>3</xdr:row>
      <xdr:rowOff>127000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91420E4-ABF3-49E1-A3BA-D01D6DD3081E}"/>
            </a:ext>
          </a:extLst>
        </xdr:cNvPr>
        <xdr:cNvCxnSpPr/>
      </xdr:nvCxnSpPr>
      <xdr:spPr>
        <a:xfrm>
          <a:off x="889000" y="641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</xdr:row>
      <xdr:rowOff>127000</xdr:rowOff>
    </xdr:from>
    <xdr:to>
      <xdr:col>2</xdr:col>
      <xdr:colOff>152400</xdr:colOff>
      <xdr:row>4</xdr:row>
      <xdr:rowOff>127000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D33D4A8E-E67E-4828-82A8-27D678C32E06}"/>
            </a:ext>
          </a:extLst>
        </xdr:cNvPr>
        <xdr:cNvCxnSpPr/>
      </xdr:nvCxnSpPr>
      <xdr:spPr>
        <a:xfrm>
          <a:off x="889000" y="812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</xdr:row>
      <xdr:rowOff>127000</xdr:rowOff>
    </xdr:from>
    <xdr:to>
      <xdr:col>2</xdr:col>
      <xdr:colOff>152400</xdr:colOff>
      <xdr:row>5</xdr:row>
      <xdr:rowOff>127000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33F3973D-569F-495E-97E4-F4CFA3DE85DC}"/>
            </a:ext>
          </a:extLst>
        </xdr:cNvPr>
        <xdr:cNvCxnSpPr/>
      </xdr:nvCxnSpPr>
      <xdr:spPr>
        <a:xfrm>
          <a:off x="889000" y="984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</xdr:row>
      <xdr:rowOff>127000</xdr:rowOff>
    </xdr:from>
    <xdr:to>
      <xdr:col>2</xdr:col>
      <xdr:colOff>152400</xdr:colOff>
      <xdr:row>6</xdr:row>
      <xdr:rowOff>127000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383C6294-C48F-4508-8BD8-DD08F9C4AA02}"/>
            </a:ext>
          </a:extLst>
        </xdr:cNvPr>
        <xdr:cNvCxnSpPr/>
      </xdr:nvCxnSpPr>
      <xdr:spPr>
        <a:xfrm>
          <a:off x="889000" y="1155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</xdr:row>
      <xdr:rowOff>127000</xdr:rowOff>
    </xdr:from>
    <xdr:to>
      <xdr:col>2</xdr:col>
      <xdr:colOff>152400</xdr:colOff>
      <xdr:row>7</xdr:row>
      <xdr:rowOff>127000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DC2669E-6BAB-48A2-ACDE-5227DC9999FB}"/>
            </a:ext>
          </a:extLst>
        </xdr:cNvPr>
        <xdr:cNvCxnSpPr/>
      </xdr:nvCxnSpPr>
      <xdr:spPr>
        <a:xfrm>
          <a:off x="889000" y="1327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8</xdr:row>
      <xdr:rowOff>127000</xdr:rowOff>
    </xdr:from>
    <xdr:to>
      <xdr:col>2</xdr:col>
      <xdr:colOff>152400</xdr:colOff>
      <xdr:row>8</xdr:row>
      <xdr:rowOff>127000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85B6D6D-FDAB-44B7-B13B-0818D50164FC}"/>
            </a:ext>
          </a:extLst>
        </xdr:cNvPr>
        <xdr:cNvCxnSpPr/>
      </xdr:nvCxnSpPr>
      <xdr:spPr>
        <a:xfrm>
          <a:off x="889000" y="1498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9</xdr:row>
      <xdr:rowOff>127000</xdr:rowOff>
    </xdr:from>
    <xdr:to>
      <xdr:col>2</xdr:col>
      <xdr:colOff>152400</xdr:colOff>
      <xdr:row>9</xdr:row>
      <xdr:rowOff>127000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D9E9D58A-5313-409C-A03F-7CEFA56E3B51}"/>
            </a:ext>
          </a:extLst>
        </xdr:cNvPr>
        <xdr:cNvCxnSpPr/>
      </xdr:nvCxnSpPr>
      <xdr:spPr>
        <a:xfrm>
          <a:off x="889000" y="1670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10</xdr:row>
      <xdr:rowOff>127000</xdr:rowOff>
    </xdr:from>
    <xdr:to>
      <xdr:col>2</xdr:col>
      <xdr:colOff>152400</xdr:colOff>
      <xdr:row>10</xdr:row>
      <xdr:rowOff>127000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105D3890-F935-477C-B6AD-4BFB75589A25}"/>
            </a:ext>
          </a:extLst>
        </xdr:cNvPr>
        <xdr:cNvCxnSpPr/>
      </xdr:nvCxnSpPr>
      <xdr:spPr>
        <a:xfrm>
          <a:off x="889000" y="1841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11</xdr:row>
      <xdr:rowOff>127000</xdr:rowOff>
    </xdr:from>
    <xdr:to>
      <xdr:col>2</xdr:col>
      <xdr:colOff>152400</xdr:colOff>
      <xdr:row>11</xdr:row>
      <xdr:rowOff>127000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B64FE7DE-ED0A-4183-A25D-1307BA92F64A}"/>
            </a:ext>
          </a:extLst>
        </xdr:cNvPr>
        <xdr:cNvCxnSpPr/>
      </xdr:nvCxnSpPr>
      <xdr:spPr>
        <a:xfrm>
          <a:off x="889000" y="2012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12</xdr:row>
      <xdr:rowOff>127000</xdr:rowOff>
    </xdr:from>
    <xdr:to>
      <xdr:col>2</xdr:col>
      <xdr:colOff>152400</xdr:colOff>
      <xdr:row>12</xdr:row>
      <xdr:rowOff>127000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8FCD8474-6C9A-49DE-AD98-70183B024F3F}"/>
            </a:ext>
          </a:extLst>
        </xdr:cNvPr>
        <xdr:cNvCxnSpPr/>
      </xdr:nvCxnSpPr>
      <xdr:spPr>
        <a:xfrm>
          <a:off x="889000" y="2184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13</xdr:row>
      <xdr:rowOff>127000</xdr:rowOff>
    </xdr:from>
    <xdr:to>
      <xdr:col>2</xdr:col>
      <xdr:colOff>152400</xdr:colOff>
      <xdr:row>13</xdr:row>
      <xdr:rowOff>127000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1A567F8E-2FBB-450E-923D-05664F14DC78}"/>
            </a:ext>
          </a:extLst>
        </xdr:cNvPr>
        <xdr:cNvCxnSpPr/>
      </xdr:nvCxnSpPr>
      <xdr:spPr>
        <a:xfrm>
          <a:off x="889000" y="2355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1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14</xdr:row>
      <xdr:rowOff>127000</xdr:rowOff>
    </xdr:from>
    <xdr:to>
      <xdr:col>2</xdr:col>
      <xdr:colOff>152400</xdr:colOff>
      <xdr:row>14</xdr:row>
      <xdr:rowOff>127000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26B6CD12-C1D5-49F2-9E53-3A7B166A64E4}"/>
            </a:ext>
          </a:extLst>
        </xdr:cNvPr>
        <xdr:cNvCxnSpPr/>
      </xdr:nvCxnSpPr>
      <xdr:spPr>
        <a:xfrm>
          <a:off x="889000" y="2527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1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15</xdr:row>
      <xdr:rowOff>127000</xdr:rowOff>
    </xdr:from>
    <xdr:to>
      <xdr:col>2</xdr:col>
      <xdr:colOff>152400</xdr:colOff>
      <xdr:row>15</xdr:row>
      <xdr:rowOff>127000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3A4C4FC4-4A30-41B5-BF18-FCB2E51EF1C5}"/>
            </a:ext>
          </a:extLst>
        </xdr:cNvPr>
        <xdr:cNvCxnSpPr/>
      </xdr:nvCxnSpPr>
      <xdr:spPr>
        <a:xfrm>
          <a:off x="889000" y="2698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16</xdr:row>
      <xdr:rowOff>127000</xdr:rowOff>
    </xdr:from>
    <xdr:to>
      <xdr:col>2</xdr:col>
      <xdr:colOff>152400</xdr:colOff>
      <xdr:row>16</xdr:row>
      <xdr:rowOff>127000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63F3CAB-76BC-46E2-9B1A-8D380FF43641}"/>
            </a:ext>
          </a:extLst>
        </xdr:cNvPr>
        <xdr:cNvCxnSpPr/>
      </xdr:nvCxnSpPr>
      <xdr:spPr>
        <a:xfrm>
          <a:off x="889000" y="2870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17</xdr:row>
      <xdr:rowOff>127000</xdr:rowOff>
    </xdr:from>
    <xdr:to>
      <xdr:col>2</xdr:col>
      <xdr:colOff>152400</xdr:colOff>
      <xdr:row>17</xdr:row>
      <xdr:rowOff>127000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DE1E707C-0DF1-482B-9BBD-743A9371398E}"/>
            </a:ext>
          </a:extLst>
        </xdr:cNvPr>
        <xdr:cNvCxnSpPr/>
      </xdr:nvCxnSpPr>
      <xdr:spPr>
        <a:xfrm>
          <a:off x="889000" y="3041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18</xdr:row>
      <xdr:rowOff>127000</xdr:rowOff>
    </xdr:from>
    <xdr:to>
      <xdr:col>2</xdr:col>
      <xdr:colOff>152400</xdr:colOff>
      <xdr:row>18</xdr:row>
      <xdr:rowOff>127000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EE3F6678-05DB-4AC4-8908-603BA17449F0}"/>
            </a:ext>
          </a:extLst>
        </xdr:cNvPr>
        <xdr:cNvCxnSpPr/>
      </xdr:nvCxnSpPr>
      <xdr:spPr>
        <a:xfrm>
          <a:off x="889000" y="3213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19</xdr:row>
      <xdr:rowOff>127000</xdr:rowOff>
    </xdr:from>
    <xdr:to>
      <xdr:col>2</xdr:col>
      <xdr:colOff>152400</xdr:colOff>
      <xdr:row>19</xdr:row>
      <xdr:rowOff>127000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E0E54691-F493-414B-94C2-99FD7D531918}"/>
            </a:ext>
          </a:extLst>
        </xdr:cNvPr>
        <xdr:cNvCxnSpPr/>
      </xdr:nvCxnSpPr>
      <xdr:spPr>
        <a:xfrm>
          <a:off x="889000" y="3384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80" mc:Ignorable="a14" a14:legacySpreadsheetColorIndex="2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20</xdr:row>
      <xdr:rowOff>127000</xdr:rowOff>
    </xdr:from>
    <xdr:to>
      <xdr:col>2</xdr:col>
      <xdr:colOff>152400</xdr:colOff>
      <xdr:row>20</xdr:row>
      <xdr:rowOff>127000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37B9B57C-CDA9-4135-ADF8-1A854AEBCF1A}"/>
            </a:ext>
          </a:extLst>
        </xdr:cNvPr>
        <xdr:cNvCxnSpPr/>
      </xdr:nvCxnSpPr>
      <xdr:spPr>
        <a:xfrm>
          <a:off x="889000" y="3556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21</xdr:row>
      <xdr:rowOff>127000</xdr:rowOff>
    </xdr:from>
    <xdr:to>
      <xdr:col>2</xdr:col>
      <xdr:colOff>152400</xdr:colOff>
      <xdr:row>21</xdr:row>
      <xdr:rowOff>127000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D4BBE1A1-93ED-4FF7-AA7C-64286F27864D}"/>
            </a:ext>
          </a:extLst>
        </xdr:cNvPr>
        <xdr:cNvCxnSpPr/>
      </xdr:nvCxnSpPr>
      <xdr:spPr>
        <a:xfrm>
          <a:off x="889000" y="3727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22</xdr:row>
      <xdr:rowOff>127000</xdr:rowOff>
    </xdr:from>
    <xdr:to>
      <xdr:col>2</xdr:col>
      <xdr:colOff>152400</xdr:colOff>
      <xdr:row>22</xdr:row>
      <xdr:rowOff>127000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3160E757-0829-4BD5-9DD2-628AE696A00F}"/>
            </a:ext>
          </a:extLst>
        </xdr:cNvPr>
        <xdr:cNvCxnSpPr/>
      </xdr:nvCxnSpPr>
      <xdr:spPr>
        <a:xfrm>
          <a:off x="889000" y="3898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23</xdr:row>
      <xdr:rowOff>127000</xdr:rowOff>
    </xdr:from>
    <xdr:to>
      <xdr:col>2</xdr:col>
      <xdr:colOff>152400</xdr:colOff>
      <xdr:row>23</xdr:row>
      <xdr:rowOff>127000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091D179-2238-4A1C-A220-50F1EF994806}"/>
            </a:ext>
          </a:extLst>
        </xdr:cNvPr>
        <xdr:cNvCxnSpPr/>
      </xdr:nvCxnSpPr>
      <xdr:spPr>
        <a:xfrm>
          <a:off x="889000" y="4070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24</xdr:row>
      <xdr:rowOff>127000</xdr:rowOff>
    </xdr:from>
    <xdr:to>
      <xdr:col>2</xdr:col>
      <xdr:colOff>152400</xdr:colOff>
      <xdr:row>24</xdr:row>
      <xdr:rowOff>127000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CDF22253-5108-4F52-A0F4-91275BD5C171}"/>
            </a:ext>
          </a:extLst>
        </xdr:cNvPr>
        <xdr:cNvCxnSpPr/>
      </xdr:nvCxnSpPr>
      <xdr:spPr>
        <a:xfrm>
          <a:off x="889000" y="4241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66" mc:Ignorable="a14" a14:legacySpreadsheetColorIndex="2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25</xdr:row>
      <xdr:rowOff>127000</xdr:rowOff>
    </xdr:from>
    <xdr:to>
      <xdr:col>2</xdr:col>
      <xdr:colOff>152400</xdr:colOff>
      <xdr:row>25</xdr:row>
      <xdr:rowOff>127000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CF1BA7E4-83D7-4573-B284-68EDDB13F72D}"/>
            </a:ext>
          </a:extLst>
        </xdr:cNvPr>
        <xdr:cNvCxnSpPr/>
      </xdr:nvCxnSpPr>
      <xdr:spPr>
        <a:xfrm>
          <a:off x="889000" y="4413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26</xdr:row>
      <xdr:rowOff>127000</xdr:rowOff>
    </xdr:from>
    <xdr:to>
      <xdr:col>2</xdr:col>
      <xdr:colOff>152400</xdr:colOff>
      <xdr:row>26</xdr:row>
      <xdr:rowOff>127000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7ABC562C-4FDE-4CD0-BFE8-9B638879A2C4}"/>
            </a:ext>
          </a:extLst>
        </xdr:cNvPr>
        <xdr:cNvCxnSpPr/>
      </xdr:nvCxnSpPr>
      <xdr:spPr>
        <a:xfrm>
          <a:off x="889000" y="4584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FF" mc:Ignorable="a14" a14:legacySpreadsheetColorIndex="2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27</xdr:row>
      <xdr:rowOff>127000</xdr:rowOff>
    </xdr:from>
    <xdr:to>
      <xdr:col>2</xdr:col>
      <xdr:colOff>152400</xdr:colOff>
      <xdr:row>27</xdr:row>
      <xdr:rowOff>127000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79C6CF6F-B178-4121-898A-34673ED879AE}"/>
            </a:ext>
          </a:extLst>
        </xdr:cNvPr>
        <xdr:cNvCxnSpPr/>
      </xdr:nvCxnSpPr>
      <xdr:spPr>
        <a:xfrm>
          <a:off x="889000" y="4756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60066" mc:Ignorable="a14" a14:legacySpreadsheetColorIndex="2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28</xdr:row>
      <xdr:rowOff>127000</xdr:rowOff>
    </xdr:from>
    <xdr:to>
      <xdr:col>2</xdr:col>
      <xdr:colOff>152400</xdr:colOff>
      <xdr:row>28</xdr:row>
      <xdr:rowOff>127000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E9778922-66C3-4587-8B2B-96DC61EF9A0C}"/>
            </a:ext>
          </a:extLst>
        </xdr:cNvPr>
        <xdr:cNvCxnSpPr/>
      </xdr:nvCxnSpPr>
      <xdr:spPr>
        <a:xfrm>
          <a:off x="889000" y="4927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29</xdr:row>
      <xdr:rowOff>127000</xdr:rowOff>
    </xdr:from>
    <xdr:to>
      <xdr:col>2</xdr:col>
      <xdr:colOff>152400</xdr:colOff>
      <xdr:row>29</xdr:row>
      <xdr:rowOff>127000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8DA41C67-7171-4D7C-8DB5-BE04953BABDE}"/>
            </a:ext>
          </a:extLst>
        </xdr:cNvPr>
        <xdr:cNvCxnSpPr/>
      </xdr:nvCxnSpPr>
      <xdr:spPr>
        <a:xfrm>
          <a:off x="889000" y="5099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66CC" mc:Ignorable="a14" a14:legacySpreadsheetColorIndex="3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30</xdr:row>
      <xdr:rowOff>127000</xdr:rowOff>
    </xdr:from>
    <xdr:to>
      <xdr:col>2</xdr:col>
      <xdr:colOff>152400</xdr:colOff>
      <xdr:row>30</xdr:row>
      <xdr:rowOff>127000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1706E578-BB43-49EF-AC54-BEB3E3D8C257}"/>
            </a:ext>
          </a:extLst>
        </xdr:cNvPr>
        <xdr:cNvCxnSpPr/>
      </xdr:nvCxnSpPr>
      <xdr:spPr>
        <a:xfrm>
          <a:off x="889000" y="5270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CCFF" mc:Ignorable="a14" a14:legacySpreadsheetColorIndex="3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31</xdr:row>
      <xdr:rowOff>127000</xdr:rowOff>
    </xdr:from>
    <xdr:to>
      <xdr:col>2</xdr:col>
      <xdr:colOff>152400</xdr:colOff>
      <xdr:row>31</xdr:row>
      <xdr:rowOff>127000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3893CCB3-9B80-4E82-8430-3B1682B715A0}"/>
            </a:ext>
          </a:extLst>
        </xdr:cNvPr>
        <xdr:cNvCxnSpPr/>
      </xdr:nvCxnSpPr>
      <xdr:spPr>
        <a:xfrm>
          <a:off x="889000" y="5441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80" mc:Ignorable="a14" a14:legacySpreadsheetColorIndex="3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32</xdr:row>
      <xdr:rowOff>127000</xdr:rowOff>
    </xdr:from>
    <xdr:to>
      <xdr:col>2</xdr:col>
      <xdr:colOff>152400</xdr:colOff>
      <xdr:row>32</xdr:row>
      <xdr:rowOff>127000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DEA18124-85BB-42B0-9478-29BE030F2F5C}"/>
            </a:ext>
          </a:extLst>
        </xdr:cNvPr>
        <xdr:cNvCxnSpPr/>
      </xdr:nvCxnSpPr>
      <xdr:spPr>
        <a:xfrm>
          <a:off x="889000" y="5613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3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33</xdr:row>
      <xdr:rowOff>127000</xdr:rowOff>
    </xdr:from>
    <xdr:to>
      <xdr:col>2</xdr:col>
      <xdr:colOff>152400</xdr:colOff>
      <xdr:row>33</xdr:row>
      <xdr:rowOff>127000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48202B61-FE5A-4AD2-8C2A-AC488E9274CF}"/>
            </a:ext>
          </a:extLst>
        </xdr:cNvPr>
        <xdr:cNvCxnSpPr/>
      </xdr:nvCxnSpPr>
      <xdr:spPr>
        <a:xfrm>
          <a:off x="889000" y="5784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3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34</xdr:row>
      <xdr:rowOff>127000</xdr:rowOff>
    </xdr:from>
    <xdr:to>
      <xdr:col>2</xdr:col>
      <xdr:colOff>152400</xdr:colOff>
      <xdr:row>34</xdr:row>
      <xdr:rowOff>127000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68EC5A3-8B2F-4C6A-BA50-668745A1F222}"/>
            </a:ext>
          </a:extLst>
        </xdr:cNvPr>
        <xdr:cNvCxnSpPr/>
      </xdr:nvCxnSpPr>
      <xdr:spPr>
        <a:xfrm>
          <a:off x="889000" y="5956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3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35</xdr:row>
      <xdr:rowOff>127000</xdr:rowOff>
    </xdr:from>
    <xdr:to>
      <xdr:col>2</xdr:col>
      <xdr:colOff>152400</xdr:colOff>
      <xdr:row>35</xdr:row>
      <xdr:rowOff>127000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62490DD5-DCDC-4D21-AE3A-201BAE8BFDB1}"/>
            </a:ext>
          </a:extLst>
        </xdr:cNvPr>
        <xdr:cNvCxnSpPr/>
      </xdr:nvCxnSpPr>
      <xdr:spPr>
        <a:xfrm>
          <a:off x="889000" y="6127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80" mc:Ignorable="a14" a14:legacySpreadsheetColorIndex="3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36</xdr:row>
      <xdr:rowOff>127000</xdr:rowOff>
    </xdr:from>
    <xdr:to>
      <xdr:col>2</xdr:col>
      <xdr:colOff>152400</xdr:colOff>
      <xdr:row>36</xdr:row>
      <xdr:rowOff>127000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B4AEE0D3-6365-49D0-A764-73423CCD85EE}"/>
            </a:ext>
          </a:extLst>
        </xdr:cNvPr>
        <xdr:cNvCxnSpPr/>
      </xdr:nvCxnSpPr>
      <xdr:spPr>
        <a:xfrm>
          <a:off x="889000" y="6299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00" mc:Ignorable="a14" a14:legacySpreadsheetColorIndex="3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37</xdr:row>
      <xdr:rowOff>127000</xdr:rowOff>
    </xdr:from>
    <xdr:to>
      <xdr:col>2</xdr:col>
      <xdr:colOff>152400</xdr:colOff>
      <xdr:row>37</xdr:row>
      <xdr:rowOff>127000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3DE8FA2D-3D5A-4041-8BF0-4B34EDDFFA22}"/>
            </a:ext>
          </a:extLst>
        </xdr:cNvPr>
        <xdr:cNvCxnSpPr/>
      </xdr:nvCxnSpPr>
      <xdr:spPr>
        <a:xfrm>
          <a:off x="889000" y="6470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80" mc:Ignorable="a14" a14:legacySpreadsheetColorIndex="3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38</xdr:row>
      <xdr:rowOff>127000</xdr:rowOff>
    </xdr:from>
    <xdr:to>
      <xdr:col>2</xdr:col>
      <xdr:colOff>152400</xdr:colOff>
      <xdr:row>38</xdr:row>
      <xdr:rowOff>127000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8B64FD98-9913-470A-8A07-43DAB149E570}"/>
            </a:ext>
          </a:extLst>
        </xdr:cNvPr>
        <xdr:cNvCxnSpPr/>
      </xdr:nvCxnSpPr>
      <xdr:spPr>
        <a:xfrm>
          <a:off x="889000" y="6642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39</xdr:row>
      <xdr:rowOff>127000</xdr:rowOff>
    </xdr:from>
    <xdr:to>
      <xdr:col>2</xdr:col>
      <xdr:colOff>152400</xdr:colOff>
      <xdr:row>39</xdr:row>
      <xdr:rowOff>127000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70401744-D36C-47DD-918E-411FAEFCBAA6}"/>
            </a:ext>
          </a:extLst>
        </xdr:cNvPr>
        <xdr:cNvCxnSpPr/>
      </xdr:nvCxnSpPr>
      <xdr:spPr>
        <a:xfrm>
          <a:off x="889000" y="6813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40</xdr:row>
      <xdr:rowOff>127000</xdr:rowOff>
    </xdr:from>
    <xdr:to>
      <xdr:col>2</xdr:col>
      <xdr:colOff>152400</xdr:colOff>
      <xdr:row>40</xdr:row>
      <xdr:rowOff>127000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9C2F952C-1C77-4811-9068-2FF0864D51C4}"/>
            </a:ext>
          </a:extLst>
        </xdr:cNvPr>
        <xdr:cNvCxnSpPr/>
      </xdr:nvCxnSpPr>
      <xdr:spPr>
        <a:xfrm>
          <a:off x="889000" y="6985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FF" mc:Ignorable="a14" a14:legacySpreadsheetColorIndex="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41</xdr:row>
      <xdr:rowOff>127000</xdr:rowOff>
    </xdr:from>
    <xdr:to>
      <xdr:col>2</xdr:col>
      <xdr:colOff>152400</xdr:colOff>
      <xdr:row>41</xdr:row>
      <xdr:rowOff>127000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5F789A3A-D1CE-4244-8DF3-65C0B95580CD}"/>
            </a:ext>
          </a:extLst>
        </xdr:cNvPr>
        <xdr:cNvCxnSpPr/>
      </xdr:nvCxnSpPr>
      <xdr:spPr>
        <a:xfrm>
          <a:off x="889000" y="7156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42</xdr:row>
      <xdr:rowOff>127000</xdr:rowOff>
    </xdr:from>
    <xdr:to>
      <xdr:col>2</xdr:col>
      <xdr:colOff>152400</xdr:colOff>
      <xdr:row>42</xdr:row>
      <xdr:rowOff>127000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2F014A02-A441-4025-B330-8406BA406441}"/>
            </a:ext>
          </a:extLst>
        </xdr:cNvPr>
        <xdr:cNvCxnSpPr/>
      </xdr:nvCxnSpPr>
      <xdr:spPr>
        <a:xfrm>
          <a:off x="889000" y="7327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43</xdr:row>
      <xdr:rowOff>127000</xdr:rowOff>
    </xdr:from>
    <xdr:to>
      <xdr:col>2</xdr:col>
      <xdr:colOff>152400</xdr:colOff>
      <xdr:row>43</xdr:row>
      <xdr:rowOff>127000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2CB7727-A1B2-466C-99D9-E5FD87DD837E}"/>
            </a:ext>
          </a:extLst>
        </xdr:cNvPr>
        <xdr:cNvCxnSpPr/>
      </xdr:nvCxnSpPr>
      <xdr:spPr>
        <a:xfrm>
          <a:off x="889000" y="7499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44</xdr:row>
      <xdr:rowOff>127000</xdr:rowOff>
    </xdr:from>
    <xdr:to>
      <xdr:col>2</xdr:col>
      <xdr:colOff>152400</xdr:colOff>
      <xdr:row>44</xdr:row>
      <xdr:rowOff>127000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1EC0254A-9564-4DC0-94F3-435FD12246DD}"/>
            </a:ext>
          </a:extLst>
        </xdr:cNvPr>
        <xdr:cNvCxnSpPr/>
      </xdr:nvCxnSpPr>
      <xdr:spPr>
        <a:xfrm>
          <a:off x="889000" y="7670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99CC" mc:Ignorable="a14" a14:legacySpreadsheetColorIndex="4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45</xdr:row>
      <xdr:rowOff>127000</xdr:rowOff>
    </xdr:from>
    <xdr:to>
      <xdr:col>2</xdr:col>
      <xdr:colOff>152400</xdr:colOff>
      <xdr:row>45</xdr:row>
      <xdr:rowOff>127000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434E5636-9370-4744-A020-C43AF52CBC88}"/>
            </a:ext>
          </a:extLst>
        </xdr:cNvPr>
        <xdr:cNvCxnSpPr/>
      </xdr:nvCxnSpPr>
      <xdr:spPr>
        <a:xfrm>
          <a:off x="889000" y="7842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99FF" mc:Ignorable="a14" a14:legacySpreadsheetColorIndex="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46</xdr:row>
      <xdr:rowOff>127000</xdr:rowOff>
    </xdr:from>
    <xdr:to>
      <xdr:col>2</xdr:col>
      <xdr:colOff>152400</xdr:colOff>
      <xdr:row>46</xdr:row>
      <xdr:rowOff>127000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F2ACE2BA-0AF9-4A28-9929-7C5718B19031}"/>
            </a:ext>
          </a:extLst>
        </xdr:cNvPr>
        <xdr:cNvCxnSpPr/>
      </xdr:nvCxnSpPr>
      <xdr:spPr>
        <a:xfrm>
          <a:off x="889000" y="8013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CC99" mc:Ignorable="a14" a14:legacySpreadsheetColorIndex="4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47</xdr:row>
      <xdr:rowOff>127000</xdr:rowOff>
    </xdr:from>
    <xdr:to>
      <xdr:col>2</xdr:col>
      <xdr:colOff>152400</xdr:colOff>
      <xdr:row>47</xdr:row>
      <xdr:rowOff>127000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58FED718-632A-4731-BA6E-657A8A5F52F1}"/>
            </a:ext>
          </a:extLst>
        </xdr:cNvPr>
        <xdr:cNvCxnSpPr/>
      </xdr:nvCxnSpPr>
      <xdr:spPr>
        <a:xfrm>
          <a:off x="889000" y="8185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66FF" mc:Ignorable="a14" a14:legacySpreadsheetColorIndex="4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48</xdr:row>
      <xdr:rowOff>127000</xdr:rowOff>
    </xdr:from>
    <xdr:to>
      <xdr:col>2</xdr:col>
      <xdr:colOff>152400</xdr:colOff>
      <xdr:row>48</xdr:row>
      <xdr:rowOff>127000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8ED576F6-43A7-4364-B16C-82FA453170F2}"/>
            </a:ext>
          </a:extLst>
        </xdr:cNvPr>
        <xdr:cNvCxnSpPr/>
      </xdr:nvCxnSpPr>
      <xdr:spPr>
        <a:xfrm>
          <a:off x="889000" y="8356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CCCC" mc:Ignorable="a14" a14:legacySpreadsheetColorIndex="4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49</xdr:row>
      <xdr:rowOff>127000</xdr:rowOff>
    </xdr:from>
    <xdr:to>
      <xdr:col>2</xdr:col>
      <xdr:colOff>152400</xdr:colOff>
      <xdr:row>49</xdr:row>
      <xdr:rowOff>127000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E5CFF821-D27A-41F5-9D4E-537E280ECB8C}"/>
            </a:ext>
          </a:extLst>
        </xdr:cNvPr>
        <xdr:cNvCxnSpPr/>
      </xdr:nvCxnSpPr>
      <xdr:spPr>
        <a:xfrm>
          <a:off x="889000" y="8528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50</xdr:row>
      <xdr:rowOff>127000</xdr:rowOff>
    </xdr:from>
    <xdr:to>
      <xdr:col>2</xdr:col>
      <xdr:colOff>152400</xdr:colOff>
      <xdr:row>50</xdr:row>
      <xdr:rowOff>127000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6609CF60-C41E-4BD6-A3EC-F5FCF251A811}"/>
            </a:ext>
          </a:extLst>
        </xdr:cNvPr>
        <xdr:cNvCxnSpPr/>
      </xdr:nvCxnSpPr>
      <xdr:spPr>
        <a:xfrm>
          <a:off x="889000" y="8699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51</xdr:row>
      <xdr:rowOff>127000</xdr:rowOff>
    </xdr:from>
    <xdr:to>
      <xdr:col>2</xdr:col>
      <xdr:colOff>152400</xdr:colOff>
      <xdr:row>51</xdr:row>
      <xdr:rowOff>127000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4C0B706E-B968-458F-8DF4-10416DF8980A}"/>
            </a:ext>
          </a:extLst>
        </xdr:cNvPr>
        <xdr:cNvCxnSpPr/>
      </xdr:nvCxnSpPr>
      <xdr:spPr>
        <a:xfrm>
          <a:off x="889000" y="8870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52</xdr:row>
      <xdr:rowOff>127000</xdr:rowOff>
    </xdr:from>
    <xdr:to>
      <xdr:col>2</xdr:col>
      <xdr:colOff>152400</xdr:colOff>
      <xdr:row>52</xdr:row>
      <xdr:rowOff>127000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EF20FBE9-E672-48CE-9014-0C8E352C829B}"/>
            </a:ext>
          </a:extLst>
        </xdr:cNvPr>
        <xdr:cNvCxnSpPr/>
      </xdr:nvCxnSpPr>
      <xdr:spPr>
        <a:xfrm>
          <a:off x="889000" y="9042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53</xdr:row>
      <xdr:rowOff>127000</xdr:rowOff>
    </xdr:from>
    <xdr:to>
      <xdr:col>2</xdr:col>
      <xdr:colOff>152400</xdr:colOff>
      <xdr:row>53</xdr:row>
      <xdr:rowOff>127000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8B6FEF8-14A9-49B6-97DD-C1F0FBF984C9}"/>
            </a:ext>
          </a:extLst>
        </xdr:cNvPr>
        <xdr:cNvCxnSpPr/>
      </xdr:nvCxnSpPr>
      <xdr:spPr>
        <a:xfrm>
          <a:off x="889000" y="9213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66699" mc:Ignorable="a14" a14:legacySpreadsheetColorIndex="5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54</xdr:row>
      <xdr:rowOff>127000</xdr:rowOff>
    </xdr:from>
    <xdr:to>
      <xdr:col>2</xdr:col>
      <xdr:colOff>152400</xdr:colOff>
      <xdr:row>54</xdr:row>
      <xdr:rowOff>127000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202DB1A4-9BB7-4496-8767-AED635E28EB7}"/>
            </a:ext>
          </a:extLst>
        </xdr:cNvPr>
        <xdr:cNvCxnSpPr/>
      </xdr:nvCxnSpPr>
      <xdr:spPr>
        <a:xfrm>
          <a:off x="889000" y="9385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55</xdr:row>
      <xdr:rowOff>127000</xdr:rowOff>
    </xdr:from>
    <xdr:to>
      <xdr:col>2</xdr:col>
      <xdr:colOff>152400</xdr:colOff>
      <xdr:row>55</xdr:row>
      <xdr:rowOff>127000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79C683E4-C005-4EB7-B0D8-4CEC4B8CA047}"/>
            </a:ext>
          </a:extLst>
        </xdr:cNvPr>
        <xdr:cNvCxnSpPr/>
      </xdr:nvCxnSpPr>
      <xdr:spPr>
        <a:xfrm>
          <a:off x="889000" y="9556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56</xdr:row>
      <xdr:rowOff>127000</xdr:rowOff>
    </xdr:from>
    <xdr:to>
      <xdr:col>2</xdr:col>
      <xdr:colOff>152400</xdr:colOff>
      <xdr:row>56</xdr:row>
      <xdr:rowOff>127000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6836B78C-3258-40D9-A786-EA7C351A33EF}"/>
            </a:ext>
          </a:extLst>
        </xdr:cNvPr>
        <xdr:cNvCxnSpPr/>
      </xdr:nvCxnSpPr>
      <xdr:spPr>
        <a:xfrm>
          <a:off x="889000" y="9728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57</xdr:row>
      <xdr:rowOff>127000</xdr:rowOff>
    </xdr:from>
    <xdr:to>
      <xdr:col>2</xdr:col>
      <xdr:colOff>152400</xdr:colOff>
      <xdr:row>57</xdr:row>
      <xdr:rowOff>127000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B62DB610-873E-4C15-8098-CDE51DCF5542}"/>
            </a:ext>
          </a:extLst>
        </xdr:cNvPr>
        <xdr:cNvCxnSpPr/>
      </xdr:nvCxnSpPr>
      <xdr:spPr>
        <a:xfrm>
          <a:off x="889000" y="9899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3300" mc:Ignorable="a14" a14:legacySpreadsheetColorIndex="5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58</xdr:row>
      <xdr:rowOff>127000</xdr:rowOff>
    </xdr:from>
    <xdr:to>
      <xdr:col>2</xdr:col>
      <xdr:colOff>152400</xdr:colOff>
      <xdr:row>58</xdr:row>
      <xdr:rowOff>127000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4B14ECC-6D19-4EBB-BD2F-1DD4F79EE9A4}"/>
            </a:ext>
          </a:extLst>
        </xdr:cNvPr>
        <xdr:cNvCxnSpPr/>
      </xdr:nvCxnSpPr>
      <xdr:spPr>
        <a:xfrm>
          <a:off x="889000" y="10071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00" mc:Ignorable="a14" a14:legacySpreadsheetColorIndex="5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59</xdr:row>
      <xdr:rowOff>127000</xdr:rowOff>
    </xdr:from>
    <xdr:to>
      <xdr:col>2</xdr:col>
      <xdr:colOff>152400</xdr:colOff>
      <xdr:row>59</xdr:row>
      <xdr:rowOff>127000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409D958E-B736-415B-80F7-2FECC73C58B0}"/>
            </a:ext>
          </a:extLst>
        </xdr:cNvPr>
        <xdr:cNvCxnSpPr/>
      </xdr:nvCxnSpPr>
      <xdr:spPr>
        <a:xfrm>
          <a:off x="889000" y="10242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00" mc:Ignorable="a14" a14:legacySpreadsheetColorIndex="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60</xdr:row>
      <xdr:rowOff>127000</xdr:rowOff>
    </xdr:from>
    <xdr:to>
      <xdr:col>2</xdr:col>
      <xdr:colOff>152400</xdr:colOff>
      <xdr:row>60</xdr:row>
      <xdr:rowOff>127000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728A2D6C-5B86-47D1-83AF-F9E0B1133491}"/>
            </a:ext>
          </a:extLst>
        </xdr:cNvPr>
        <xdr:cNvCxnSpPr/>
      </xdr:nvCxnSpPr>
      <xdr:spPr>
        <a:xfrm>
          <a:off x="889000" y="10414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66" mc:Ignorable="a14" a14:legacySpreadsheetColorIndex="6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61</xdr:row>
      <xdr:rowOff>127000</xdr:rowOff>
    </xdr:from>
    <xdr:to>
      <xdr:col>2</xdr:col>
      <xdr:colOff>152400</xdr:colOff>
      <xdr:row>61</xdr:row>
      <xdr:rowOff>127000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A3404FA-8BAD-4F94-A78C-3B5F8DEAE2EC}"/>
            </a:ext>
          </a:extLst>
        </xdr:cNvPr>
        <xdr:cNvCxnSpPr/>
      </xdr:nvCxnSpPr>
      <xdr:spPr>
        <a:xfrm>
          <a:off x="889000" y="10585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62</xdr:row>
      <xdr:rowOff>127000</xdr:rowOff>
    </xdr:from>
    <xdr:to>
      <xdr:col>2</xdr:col>
      <xdr:colOff>152400</xdr:colOff>
      <xdr:row>62</xdr:row>
      <xdr:rowOff>127000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646C36B4-B3E4-4195-82CA-565B4413C2E0}"/>
            </a:ext>
          </a:extLst>
        </xdr:cNvPr>
        <xdr:cNvCxnSpPr/>
      </xdr:nvCxnSpPr>
      <xdr:spPr>
        <a:xfrm>
          <a:off x="889000" y="10756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33" mc:Ignorable="a14" a14:legacySpreadsheetColorIndex="6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63</xdr:row>
      <xdr:rowOff>127000</xdr:rowOff>
    </xdr:from>
    <xdr:to>
      <xdr:col>2</xdr:col>
      <xdr:colOff>152400</xdr:colOff>
      <xdr:row>63</xdr:row>
      <xdr:rowOff>127000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6FCB4AC5-04FE-42AF-A20A-F753F0AAFD13}"/>
            </a:ext>
          </a:extLst>
        </xdr:cNvPr>
        <xdr:cNvCxnSpPr/>
      </xdr:nvCxnSpPr>
      <xdr:spPr>
        <a:xfrm>
          <a:off x="889000" y="10928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64</xdr:row>
      <xdr:rowOff>127000</xdr:rowOff>
    </xdr:from>
    <xdr:to>
      <xdr:col>2</xdr:col>
      <xdr:colOff>152400</xdr:colOff>
      <xdr:row>64</xdr:row>
      <xdr:rowOff>127000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F19A07C3-CB08-40EB-A338-A20BD4DA8E50}"/>
            </a:ext>
          </a:extLst>
        </xdr:cNvPr>
        <xdr:cNvCxnSpPr/>
      </xdr:nvCxnSpPr>
      <xdr:spPr>
        <a:xfrm>
          <a:off x="889000" y="11099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65</xdr:row>
      <xdr:rowOff>127000</xdr:rowOff>
    </xdr:from>
    <xdr:to>
      <xdr:col>2</xdr:col>
      <xdr:colOff>152400</xdr:colOff>
      <xdr:row>65</xdr:row>
      <xdr:rowOff>127000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57C796C7-F6A8-477F-ABA3-D750FE942ED3}"/>
            </a:ext>
          </a:extLst>
        </xdr:cNvPr>
        <xdr:cNvCxnSpPr/>
      </xdr:nvCxnSpPr>
      <xdr:spPr>
        <a:xfrm>
          <a:off x="889000" y="11271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46464" mc:Ignorable="a14" a14:legacySpreadsheetColorIndex="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66</xdr:row>
      <xdr:rowOff>127000</xdr:rowOff>
    </xdr:from>
    <xdr:to>
      <xdr:col>2</xdr:col>
      <xdr:colOff>152400</xdr:colOff>
      <xdr:row>66</xdr:row>
      <xdr:rowOff>127000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2A41993A-FEAB-4D1C-9A40-1D347D302CCD}"/>
            </a:ext>
          </a:extLst>
        </xdr:cNvPr>
        <xdr:cNvCxnSpPr/>
      </xdr:nvCxnSpPr>
      <xdr:spPr>
        <a:xfrm>
          <a:off x="889000" y="11442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0F0F0" mc:Ignorable="a14" a14:legacySpreadsheetColorIndex="6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67</xdr:row>
      <xdr:rowOff>127000</xdr:rowOff>
    </xdr:from>
    <xdr:to>
      <xdr:col>2</xdr:col>
      <xdr:colOff>152400</xdr:colOff>
      <xdr:row>67</xdr:row>
      <xdr:rowOff>127000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268FBF2C-63D7-4D17-ADE9-612F4AC81135}"/>
            </a:ext>
          </a:extLst>
        </xdr:cNvPr>
        <xdr:cNvCxnSpPr/>
      </xdr:nvCxnSpPr>
      <xdr:spPr>
        <a:xfrm>
          <a:off x="889000" y="11614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6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68</xdr:row>
      <xdr:rowOff>127000</xdr:rowOff>
    </xdr:from>
    <xdr:to>
      <xdr:col>2</xdr:col>
      <xdr:colOff>152400</xdr:colOff>
      <xdr:row>68</xdr:row>
      <xdr:rowOff>127000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8FB76D96-8A27-4506-81C4-27A5BE70FB4F}"/>
            </a:ext>
          </a:extLst>
        </xdr:cNvPr>
        <xdr:cNvCxnSpPr/>
      </xdr:nvCxnSpPr>
      <xdr:spPr>
        <a:xfrm>
          <a:off x="889000" y="11785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69</xdr:row>
      <xdr:rowOff>127000</xdr:rowOff>
    </xdr:from>
    <xdr:to>
      <xdr:col>2</xdr:col>
      <xdr:colOff>152400</xdr:colOff>
      <xdr:row>69</xdr:row>
      <xdr:rowOff>127000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7104DB65-F215-477B-A1A6-3D977B5073EC}"/>
            </a:ext>
          </a:extLst>
        </xdr:cNvPr>
        <xdr:cNvCxnSpPr/>
      </xdr:nvCxnSpPr>
      <xdr:spPr>
        <a:xfrm>
          <a:off x="889000" y="11957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A0A0A0" mc:Ignorable="a14" a14:legacySpreadsheetColorIndex="7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70</xdr:row>
      <xdr:rowOff>127000</xdr:rowOff>
    </xdr:from>
    <xdr:to>
      <xdr:col>2</xdr:col>
      <xdr:colOff>152400</xdr:colOff>
      <xdr:row>70</xdr:row>
      <xdr:rowOff>127000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2B40B0CD-A547-46BC-BFB0-268E6A984D3A}"/>
            </a:ext>
          </a:extLst>
        </xdr:cNvPr>
        <xdr:cNvCxnSpPr/>
      </xdr:nvCxnSpPr>
      <xdr:spPr>
        <a:xfrm>
          <a:off x="889000" y="12128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78D7" mc:Ignorable="a14" a14:legacySpreadsheetColorIndex="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71</xdr:row>
      <xdr:rowOff>127000</xdr:rowOff>
    </xdr:from>
    <xdr:to>
      <xdr:col>2</xdr:col>
      <xdr:colOff>152400</xdr:colOff>
      <xdr:row>71</xdr:row>
      <xdr:rowOff>127000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D553684F-ADFC-44F2-8585-9EAAB0E04262}"/>
            </a:ext>
          </a:extLst>
        </xdr:cNvPr>
        <xdr:cNvCxnSpPr/>
      </xdr:nvCxnSpPr>
      <xdr:spPr>
        <a:xfrm>
          <a:off x="889000" y="12299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72</xdr:row>
      <xdr:rowOff>127000</xdr:rowOff>
    </xdr:from>
    <xdr:to>
      <xdr:col>2</xdr:col>
      <xdr:colOff>152400</xdr:colOff>
      <xdr:row>72</xdr:row>
      <xdr:rowOff>127000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BF586A9E-8D4C-4F55-8C2B-5CDD0152340B}"/>
            </a:ext>
          </a:extLst>
        </xdr:cNvPr>
        <xdr:cNvCxnSpPr/>
      </xdr:nvCxnSpPr>
      <xdr:spPr>
        <a:xfrm>
          <a:off x="889000" y="12471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8C8C8" mc:Ignorable="a14" a14:legacySpreadsheetColorIndex="7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73</xdr:row>
      <xdr:rowOff>127000</xdr:rowOff>
    </xdr:from>
    <xdr:to>
      <xdr:col>2</xdr:col>
      <xdr:colOff>152400</xdr:colOff>
      <xdr:row>73</xdr:row>
      <xdr:rowOff>127000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E8617CA7-60B1-403D-8283-9DEED4CBA804}"/>
            </a:ext>
          </a:extLst>
        </xdr:cNvPr>
        <xdr:cNvCxnSpPr/>
      </xdr:nvCxnSpPr>
      <xdr:spPr>
        <a:xfrm>
          <a:off x="889000" y="12642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73737" mc:Ignorable="a14" a14:legacySpreadsheetColorIndex="7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74</xdr:row>
      <xdr:rowOff>127000</xdr:rowOff>
    </xdr:from>
    <xdr:to>
      <xdr:col>2</xdr:col>
      <xdr:colOff>152400</xdr:colOff>
      <xdr:row>74</xdr:row>
      <xdr:rowOff>127000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BAED177D-3976-462B-A30D-6FFE420F644A}"/>
            </a:ext>
          </a:extLst>
        </xdr:cNvPr>
        <xdr:cNvCxnSpPr/>
      </xdr:nvCxnSpPr>
      <xdr:spPr>
        <a:xfrm>
          <a:off x="889000" y="12814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7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75</xdr:row>
      <xdr:rowOff>127000</xdr:rowOff>
    </xdr:from>
    <xdr:to>
      <xdr:col>2</xdr:col>
      <xdr:colOff>152400</xdr:colOff>
      <xdr:row>75</xdr:row>
      <xdr:rowOff>127000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0DD84531-14D7-4F7B-A3E8-F355EA10AEE5}"/>
            </a:ext>
          </a:extLst>
        </xdr:cNvPr>
        <xdr:cNvCxnSpPr/>
      </xdr:nvCxnSpPr>
      <xdr:spPr>
        <a:xfrm>
          <a:off x="889000" y="12985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46464" mc:Ignorable="a14" a14:legacySpreadsheetColorIndex="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76</xdr:row>
      <xdr:rowOff>127000</xdr:rowOff>
    </xdr:from>
    <xdr:to>
      <xdr:col>2</xdr:col>
      <xdr:colOff>152400</xdr:colOff>
      <xdr:row>76</xdr:row>
      <xdr:rowOff>127000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FBA2EEDA-E17B-4BE1-A00A-982781F95CBA}"/>
            </a:ext>
          </a:extLst>
        </xdr:cNvPr>
        <xdr:cNvCxnSpPr/>
      </xdr:nvCxnSpPr>
      <xdr:spPr>
        <a:xfrm>
          <a:off x="889000" y="13157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77</xdr:row>
      <xdr:rowOff>127000</xdr:rowOff>
    </xdr:from>
    <xdr:to>
      <xdr:col>2</xdr:col>
      <xdr:colOff>152400</xdr:colOff>
      <xdr:row>77</xdr:row>
      <xdr:rowOff>127000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3FE1852B-CD67-4799-9C4F-DD0728720AE4}"/>
            </a:ext>
          </a:extLst>
        </xdr:cNvPr>
        <xdr:cNvCxnSpPr/>
      </xdr:nvCxnSpPr>
      <xdr:spPr>
        <a:xfrm>
          <a:off x="889000" y="13328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7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78</xdr:row>
      <xdr:rowOff>127000</xdr:rowOff>
    </xdr:from>
    <xdr:to>
      <xdr:col>2</xdr:col>
      <xdr:colOff>152400</xdr:colOff>
      <xdr:row>78</xdr:row>
      <xdr:rowOff>127000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51A2F384-06D6-4EFF-82A7-287621C8F9F7}"/>
            </a:ext>
          </a:extLst>
        </xdr:cNvPr>
        <xdr:cNvCxnSpPr/>
      </xdr:nvCxnSpPr>
      <xdr:spPr>
        <a:xfrm>
          <a:off x="889000" y="13500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79</xdr:row>
      <xdr:rowOff>127000</xdr:rowOff>
    </xdr:from>
    <xdr:to>
      <xdr:col>2</xdr:col>
      <xdr:colOff>152400</xdr:colOff>
      <xdr:row>79</xdr:row>
      <xdr:rowOff>127000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20AD5098-A370-43F2-94E3-26E2E6AB17F9}"/>
            </a:ext>
          </a:extLst>
        </xdr:cNvPr>
        <xdr:cNvCxnSpPr/>
      </xdr:nvCxnSpPr>
      <xdr:spPr>
        <a:xfrm>
          <a:off x="889000" y="13671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E1" mc:Ignorable="a14" a14:legacySpreadsheetColorIndex="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223344</xdr:colOff>
      <xdr:row>3</xdr:row>
      <xdr:rowOff>106418</xdr:rowOff>
    </xdr:from>
    <xdr:to>
      <xdr:col>21</xdr:col>
      <xdr:colOff>335016</xdr:colOff>
      <xdr:row>29</xdr:row>
      <xdr:rowOff>59121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0"/>
  <sheetViews>
    <sheetView zoomScale="220" zoomScaleNormal="220" workbookViewId="0">
      <selection activeCell="C4" sqref="C4"/>
    </sheetView>
  </sheetViews>
  <sheetFormatPr defaultColWidth="4.625" defaultRowHeight="13.5"/>
  <cols>
    <col min="1" max="1" width="9" bestFit="1" customWidth="1"/>
  </cols>
  <sheetData>
    <row r="1" spans="1:29">
      <c r="A1" t="str">
        <f ca="1">MID(CELL("filename",A1),FIND("]",CELL("filename",A1))+1,LEN(CELL("filename",A1)))</f>
        <v>Sheet_2</v>
      </c>
      <c r="X1" t="str">
        <f ca="1">MID(CELL("filename",X1),FIND("]",CELL("filename",X1))+1,30)</f>
        <v>Sheet_2</v>
      </c>
    </row>
    <row r="2" spans="1:29">
      <c r="A2" t="str">
        <f ca="1">MID(CELL("filename",A2),FIND("]",CELL("filename",A2))+1,LEN(CELL("filename",A2)))</f>
        <v>Sheet_2</v>
      </c>
    </row>
    <row r="3" spans="1:29" ht="13.15" customHeight="1">
      <c r="A3" t="str">
        <f ca="1">MID(CELL("filename",A3),FIND("]",CELL("filename",A3))+1,LEN(CELL("filename",A3)))</f>
        <v>Sheet_2</v>
      </c>
    </row>
    <row r="4" spans="1:29" ht="13.15" customHeight="1"/>
    <row r="5" spans="1:29" ht="13.15" customHeight="1"/>
    <row r="6" spans="1:29" ht="13.15" customHeight="1">
      <c r="A6" s="9" t="str">
        <f ca="1">RIGHT(CELL("filename",A1),LEN(CELL("filename",A1))-FIND("]",CELL("filename",A1)))</f>
        <v>Sheet_2</v>
      </c>
      <c r="U6" s="5"/>
    </row>
    <row r="7" spans="1:29" ht="13.15" customHeight="1">
      <c r="A7" s="7" t="str">
        <f ca="1">MID(CELL("filename",A2),FIND("[",CELL("filename",A2))+1,FIND("]",CELL("filename",A2))-(FIND("[",CELL("filename",A2))+1))</f>
        <v>gグラフ編集_20210326.xlsm</v>
      </c>
    </row>
    <row r="8" spans="1:29" ht="13.15" customHeight="1">
      <c r="A8" t="str">
        <f ca="1">MID(CELL("filename",A2),1,FIND("[",CELL("filename",A2))-2)</f>
        <v>Z:\Documsnts\asciidoc\asciidoc\excel\gグラフ編雁E20210326</v>
      </c>
      <c r="R8" s="6"/>
    </row>
    <row r="9" spans="1:29" ht="13.15" customHeight="1">
      <c r="AA9" t="s">
        <v>4</v>
      </c>
    </row>
    <row r="10" spans="1:29" ht="13.15" customHeight="1">
      <c r="A10" t="str">
        <f ca="1">LEFT(CELL("filename",A2),FIND("[",CELL("filename",A2))-2)</f>
        <v>Z:\Documsnts\asciidoc\asciidoc\excel\gグラフ編雁E20210326</v>
      </c>
    </row>
    <row r="11" spans="1:29" ht="13.15" customHeight="1">
      <c r="AB11" t="s">
        <v>0</v>
      </c>
      <c r="AC11" t="s">
        <v>1</v>
      </c>
    </row>
    <row r="12" spans="1:29" ht="13.15" customHeight="1">
      <c r="A12" t="s">
        <v>161</v>
      </c>
      <c r="AA12">
        <v>1</v>
      </c>
      <c r="AB12">
        <v>444</v>
      </c>
      <c r="AC12">
        <v>222</v>
      </c>
    </row>
    <row r="13" spans="1:29" ht="13.15" customHeight="1">
      <c r="AA13">
        <v>2</v>
      </c>
      <c r="AB13">
        <v>400</v>
      </c>
      <c r="AC13">
        <v>333</v>
      </c>
    </row>
    <row r="14" spans="1:29" ht="13.15" customHeight="1">
      <c r="A14" t="e">
        <f>RIGHT(A12,FIND("\",A12,LEN(A12)))</f>
        <v>#VALUE!</v>
      </c>
      <c r="AA14">
        <v>3</v>
      </c>
      <c r="AB14">
        <v>555</v>
      </c>
      <c r="AC14">
        <v>444</v>
      </c>
    </row>
    <row r="15" spans="1:29" ht="13.15" customHeight="1"/>
    <row r="16" spans="1:29" ht="13.15" customHeight="1"/>
    <row r="17" spans="26:27" ht="13.15" customHeight="1"/>
    <row r="18" spans="26:27" ht="13.15" customHeight="1"/>
    <row r="19" spans="26:27" ht="13.15" customHeight="1"/>
    <row r="20" spans="26:27" ht="13.15" customHeight="1"/>
    <row r="21" spans="26:27" ht="13.15" customHeight="1"/>
    <row r="22" spans="26:27" ht="13.15" customHeight="1"/>
    <row r="23" spans="26:27" ht="13.15" customHeight="1">
      <c r="Z23">
        <v>16</v>
      </c>
      <c r="AA23">
        <f>Z23^2</f>
        <v>256</v>
      </c>
    </row>
    <row r="24" spans="26:27" ht="13.15" customHeight="1">
      <c r="Z24">
        <f>SQRT(AA24)</f>
        <v>11.313708498984761</v>
      </c>
      <c r="AA24">
        <f>AA23/2</f>
        <v>128</v>
      </c>
    </row>
    <row r="25" spans="26:27" ht="13.15" customHeight="1">
      <c r="Z25">
        <f>SQRT(AA25)</f>
        <v>11.313708498984761</v>
      </c>
      <c r="AA25">
        <f>AA23/2</f>
        <v>128</v>
      </c>
    </row>
    <row r="26" spans="26:27" ht="13.15" customHeight="1"/>
    <row r="27" spans="26:27" ht="13.15" customHeight="1">
      <c r="Z27">
        <v>20</v>
      </c>
      <c r="AA27">
        <f>Z27^2</f>
        <v>400</v>
      </c>
    </row>
    <row r="28" spans="26:27" ht="13.15" customHeight="1">
      <c r="Z28">
        <f>SQRT(AA28)</f>
        <v>14.142135623730951</v>
      </c>
      <c r="AA28">
        <f>AA27/2</f>
        <v>200</v>
      </c>
    </row>
    <row r="29" spans="26:27" ht="13.15" customHeight="1">
      <c r="Z29">
        <f>SQRT(AA29)</f>
        <v>14.142135623730951</v>
      </c>
      <c r="AA29">
        <f>AA27/2</f>
        <v>200</v>
      </c>
    </row>
    <row r="30" spans="26:27" ht="13.15" customHeight="1"/>
    <row r="31" spans="26:27" ht="13.15" customHeight="1"/>
    <row r="32" spans="26:27" ht="13.15" customHeight="1"/>
    <row r="33" spans="30:30" ht="13.15" customHeight="1"/>
    <row r="34" spans="30:30" ht="13.15" customHeight="1">
      <c r="AD34" t="s">
        <v>5</v>
      </c>
    </row>
    <row r="35" spans="30:30" ht="13.15" customHeight="1"/>
    <row r="36" spans="30:30" ht="13.15" customHeight="1"/>
    <row r="37" spans="30:30" ht="13.15" customHeight="1"/>
    <row r="38" spans="30:30" ht="13.15" customHeight="1"/>
    <row r="39" spans="30:30" ht="13.15" customHeight="1"/>
    <row r="40" spans="30:30" ht="13.15" customHeight="1"/>
    <row r="41" spans="30:30" ht="13.15" customHeight="1"/>
    <row r="42" spans="30:30" ht="13.15" customHeight="1"/>
    <row r="43" spans="30:30" ht="13.15" customHeight="1"/>
    <row r="44" spans="30:30" ht="13.15" customHeight="1"/>
    <row r="45" spans="30:30" ht="13.15" customHeight="1"/>
    <row r="46" spans="30:30" ht="13.15" customHeight="1"/>
    <row r="47" spans="30:30" ht="13.15" customHeight="1"/>
    <row r="48" spans="30:30" ht="13.15" customHeight="1"/>
    <row r="49" spans="35:45" ht="13.15" customHeight="1"/>
    <row r="50" spans="35:45" ht="13.15" customHeight="1"/>
    <row r="51" spans="35:45" ht="13.15" customHeight="1"/>
    <row r="52" spans="35:45" ht="13.15" customHeight="1"/>
    <row r="53" spans="35:45" ht="13.15" customHeight="1">
      <c r="AI53" t="s">
        <v>3</v>
      </c>
    </row>
    <row r="54" spans="35:45" ht="13.15" customHeight="1">
      <c r="AM54" t="s">
        <v>2</v>
      </c>
    </row>
    <row r="55" spans="35:45" ht="13.15" customHeight="1"/>
    <row r="56" spans="35:45" ht="13.15" customHeight="1"/>
    <row r="57" spans="35:45" ht="13.15" customHeight="1"/>
    <row r="58" spans="35:45" ht="13.15" customHeight="1"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35:45" ht="13.15" customHeight="1"/>
    <row r="60" spans="35:45" ht="13.15" customHeight="1"/>
    <row r="61" spans="35:45" ht="13.15" customHeight="1"/>
    <row r="62" spans="35:45" ht="13.15" customHeight="1"/>
    <row r="63" spans="35:45" ht="13.15" customHeight="1"/>
    <row r="64" spans="35:45" ht="13.15" customHeight="1"/>
    <row r="65" ht="13.15" customHeight="1"/>
    <row r="66" ht="13.15" customHeight="1"/>
    <row r="67" ht="13.15" customHeight="1"/>
    <row r="68" ht="13.15" customHeight="1"/>
    <row r="69" ht="13.15" customHeight="1"/>
    <row r="70" ht="13.15" customHeight="1"/>
    <row r="71" ht="13.15" customHeight="1"/>
    <row r="72" ht="13.15" customHeight="1"/>
    <row r="73" ht="13.15" customHeight="1"/>
    <row r="74" ht="13.15" customHeight="1"/>
    <row r="75" ht="13.15" customHeight="1"/>
    <row r="76" ht="13.15" customHeight="1"/>
    <row r="77" ht="13.15" customHeight="1"/>
    <row r="78" ht="13.15" customHeight="1"/>
    <row r="79" ht="13.15" customHeight="1"/>
    <row r="80" ht="13.15" customHeight="1"/>
    <row r="81" ht="13.15" customHeight="1"/>
    <row r="82" ht="13.15" customHeight="1"/>
    <row r="83" ht="13.15" customHeight="1"/>
    <row r="84" ht="13.15" customHeight="1"/>
    <row r="85" ht="13.15" customHeight="1"/>
    <row r="86" ht="13.15" customHeight="1"/>
    <row r="87" ht="13.15" customHeight="1"/>
    <row r="88" ht="13.15" customHeight="1"/>
    <row r="89" ht="13.15" customHeight="1"/>
    <row r="90" ht="13.15" customHeight="1"/>
    <row r="91" ht="13.15" customHeight="1"/>
    <row r="92" ht="13.15" customHeight="1"/>
    <row r="93" ht="13.15" customHeight="1"/>
    <row r="94" ht="13.15" customHeight="1"/>
    <row r="95" ht="13.15" customHeight="1"/>
    <row r="96" ht="13.15" customHeight="1"/>
    <row r="97" ht="13.15" customHeight="1"/>
    <row r="98" ht="13.15" customHeight="1"/>
    <row r="99" ht="13.15" customHeight="1"/>
    <row r="100" ht="13.15" customHeight="1"/>
  </sheetData>
  <phoneticPr fontId="1"/>
  <hyperlinks>
    <hyperlink ref="A6" location="お試し!A1" display="お試し!A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80"/>
  <sheetViews>
    <sheetView zoomScale="295" zoomScaleNormal="295" workbookViewId="0">
      <selection activeCell="D7" sqref="D7"/>
    </sheetView>
  </sheetViews>
  <sheetFormatPr defaultRowHeight="13.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  <row r="11" spans="1:1">
      <c r="A11">
        <v>11</v>
      </c>
    </row>
    <row r="12" spans="1:1">
      <c r="A12">
        <v>12</v>
      </c>
    </row>
    <row r="13" spans="1:1">
      <c r="A13">
        <v>13</v>
      </c>
    </row>
    <row r="14" spans="1:1">
      <c r="A14">
        <v>14</v>
      </c>
    </row>
    <row r="15" spans="1:1">
      <c r="A15">
        <v>15</v>
      </c>
    </row>
    <row r="16" spans="1:1">
      <c r="A16">
        <v>16</v>
      </c>
    </row>
    <row r="17" spans="1:1">
      <c r="A17">
        <v>17</v>
      </c>
    </row>
    <row r="18" spans="1:1">
      <c r="A18">
        <v>18</v>
      </c>
    </row>
    <row r="19" spans="1:1">
      <c r="A19">
        <v>19</v>
      </c>
    </row>
    <row r="20" spans="1:1">
      <c r="A20">
        <v>20</v>
      </c>
    </row>
    <row r="21" spans="1:1">
      <c r="A21">
        <v>21</v>
      </c>
    </row>
    <row r="22" spans="1:1">
      <c r="A22">
        <v>22</v>
      </c>
    </row>
    <row r="23" spans="1:1">
      <c r="A23">
        <v>23</v>
      </c>
    </row>
    <row r="24" spans="1:1">
      <c r="A24">
        <v>24</v>
      </c>
    </row>
    <row r="25" spans="1:1">
      <c r="A25">
        <v>25</v>
      </c>
    </row>
    <row r="26" spans="1:1">
      <c r="A26">
        <v>26</v>
      </c>
    </row>
    <row r="27" spans="1:1">
      <c r="A27">
        <v>27</v>
      </c>
    </row>
    <row r="28" spans="1:1">
      <c r="A28">
        <v>28</v>
      </c>
    </row>
    <row r="29" spans="1:1">
      <c r="A29">
        <v>29</v>
      </c>
    </row>
    <row r="30" spans="1:1">
      <c r="A30">
        <v>30</v>
      </c>
    </row>
    <row r="31" spans="1:1">
      <c r="A31">
        <v>31</v>
      </c>
    </row>
    <row r="32" spans="1:1">
      <c r="A32">
        <v>32</v>
      </c>
    </row>
    <row r="33" spans="1:1">
      <c r="A33">
        <v>33</v>
      </c>
    </row>
    <row r="34" spans="1:1">
      <c r="A34">
        <v>34</v>
      </c>
    </row>
    <row r="35" spans="1:1">
      <c r="A35">
        <v>35</v>
      </c>
    </row>
    <row r="36" spans="1:1">
      <c r="A36">
        <v>36</v>
      </c>
    </row>
    <row r="37" spans="1:1">
      <c r="A37">
        <v>37</v>
      </c>
    </row>
    <row r="38" spans="1:1">
      <c r="A38">
        <v>38</v>
      </c>
    </row>
    <row r="39" spans="1:1">
      <c r="A39">
        <v>39</v>
      </c>
    </row>
    <row r="40" spans="1:1">
      <c r="A40">
        <v>40</v>
      </c>
    </row>
    <row r="41" spans="1:1">
      <c r="A41">
        <v>41</v>
      </c>
    </row>
    <row r="42" spans="1:1">
      <c r="A42">
        <v>42</v>
      </c>
    </row>
    <row r="43" spans="1:1">
      <c r="A43">
        <v>43</v>
      </c>
    </row>
    <row r="44" spans="1:1">
      <c r="A44">
        <v>44</v>
      </c>
    </row>
    <row r="45" spans="1:1">
      <c r="A45">
        <v>45</v>
      </c>
    </row>
    <row r="46" spans="1:1">
      <c r="A46">
        <v>46</v>
      </c>
    </row>
    <row r="47" spans="1:1">
      <c r="A47">
        <v>47</v>
      </c>
    </row>
    <row r="48" spans="1:1">
      <c r="A48">
        <v>48</v>
      </c>
    </row>
    <row r="49" spans="1:1">
      <c r="A49">
        <v>49</v>
      </c>
    </row>
    <row r="50" spans="1:1">
      <c r="A50">
        <v>50</v>
      </c>
    </row>
    <row r="51" spans="1:1">
      <c r="A51">
        <v>51</v>
      </c>
    </row>
    <row r="52" spans="1:1">
      <c r="A52">
        <v>52</v>
      </c>
    </row>
    <row r="53" spans="1:1">
      <c r="A53">
        <v>53</v>
      </c>
    </row>
    <row r="54" spans="1:1">
      <c r="A54">
        <v>54</v>
      </c>
    </row>
    <row r="55" spans="1:1">
      <c r="A55">
        <v>55</v>
      </c>
    </row>
    <row r="56" spans="1:1">
      <c r="A56">
        <v>56</v>
      </c>
    </row>
    <row r="57" spans="1:1">
      <c r="A57">
        <v>57</v>
      </c>
    </row>
    <row r="58" spans="1:1">
      <c r="A58">
        <v>58</v>
      </c>
    </row>
    <row r="59" spans="1:1">
      <c r="A59">
        <v>59</v>
      </c>
    </row>
    <row r="60" spans="1:1">
      <c r="A60">
        <v>60</v>
      </c>
    </row>
    <row r="61" spans="1:1">
      <c r="A61">
        <v>61</v>
      </c>
    </row>
    <row r="62" spans="1:1">
      <c r="A62">
        <v>62</v>
      </c>
    </row>
    <row r="63" spans="1:1">
      <c r="A63">
        <v>63</v>
      </c>
    </row>
    <row r="64" spans="1:1">
      <c r="A64">
        <v>64</v>
      </c>
    </row>
    <row r="65" spans="1:1">
      <c r="A65">
        <v>65</v>
      </c>
    </row>
    <row r="66" spans="1:1">
      <c r="A66">
        <v>66</v>
      </c>
    </row>
    <row r="67" spans="1:1">
      <c r="A67">
        <v>67</v>
      </c>
    </row>
    <row r="68" spans="1:1">
      <c r="A68">
        <v>68</v>
      </c>
    </row>
    <row r="69" spans="1:1">
      <c r="A69">
        <v>69</v>
      </c>
    </row>
    <row r="70" spans="1:1">
      <c r="A70">
        <v>70</v>
      </c>
    </row>
    <row r="71" spans="1:1">
      <c r="A71">
        <v>71</v>
      </c>
    </row>
    <row r="72" spans="1:1">
      <c r="A72">
        <v>72</v>
      </c>
    </row>
    <row r="73" spans="1:1">
      <c r="A73">
        <v>73</v>
      </c>
    </row>
    <row r="74" spans="1:1">
      <c r="A74">
        <v>74</v>
      </c>
    </row>
    <row r="75" spans="1:1">
      <c r="A75">
        <v>75</v>
      </c>
    </row>
    <row r="76" spans="1:1">
      <c r="A76">
        <v>76</v>
      </c>
    </row>
    <row r="77" spans="1:1">
      <c r="A77">
        <v>77</v>
      </c>
    </row>
    <row r="78" spans="1:1">
      <c r="A78">
        <v>78</v>
      </c>
    </row>
    <row r="79" spans="1:1">
      <c r="A79">
        <v>79</v>
      </c>
    </row>
    <row r="80" spans="1:1">
      <c r="A80">
        <v>80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696"/>
  <sheetViews>
    <sheetView topLeftCell="A4" zoomScale="145" zoomScaleNormal="145" zoomScaleSheetLayoutView="115" workbookViewId="0">
      <selection activeCell="A17" sqref="A17"/>
    </sheetView>
  </sheetViews>
  <sheetFormatPr defaultRowHeight="13.5"/>
  <cols>
    <col min="1" max="1" width="12.875" bestFit="1" customWidth="1"/>
    <col min="2" max="2" width="8.25" customWidth="1"/>
    <col min="3" max="14" width="4.625" customWidth="1"/>
    <col min="15" max="25" width="4.375" bestFit="1" customWidth="1"/>
    <col min="26" max="50" width="4.625" customWidth="1"/>
  </cols>
  <sheetData>
    <row r="1" spans="1:2">
      <c r="A1" t="str">
        <f ca="1">MID(CELL("filename",A1),FIND("]",CELL("filename",A1))+1,30)</f>
        <v>お試し</v>
      </c>
    </row>
    <row r="2" spans="1:2">
      <c r="A2" s="2"/>
      <c r="B2" s="2"/>
    </row>
    <row r="21" spans="3:25">
      <c r="D21" t="s">
        <v>336</v>
      </c>
      <c r="E21" t="s">
        <v>338</v>
      </c>
      <c r="F21" t="s">
        <v>339</v>
      </c>
      <c r="G21" t="s">
        <v>340</v>
      </c>
      <c r="H21" t="s">
        <v>341</v>
      </c>
      <c r="I21" t="s">
        <v>342</v>
      </c>
      <c r="J21" t="s">
        <v>343</v>
      </c>
      <c r="K21" t="s">
        <v>344</v>
      </c>
      <c r="L21" t="s">
        <v>345</v>
      </c>
      <c r="M21" t="s">
        <v>346</v>
      </c>
      <c r="N21" t="s">
        <v>347</v>
      </c>
      <c r="O21" t="s">
        <v>348</v>
      </c>
      <c r="P21" t="s">
        <v>337</v>
      </c>
      <c r="Q21" t="s">
        <v>349</v>
      </c>
      <c r="R21" t="s">
        <v>350</v>
      </c>
      <c r="S21" t="s">
        <v>351</v>
      </c>
      <c r="T21" t="s">
        <v>352</v>
      </c>
      <c r="U21" t="s">
        <v>353</v>
      </c>
      <c r="V21" t="s">
        <v>354</v>
      </c>
      <c r="W21" t="s">
        <v>355</v>
      </c>
      <c r="X21" t="s">
        <v>356</v>
      </c>
      <c r="Y21" t="s">
        <v>357</v>
      </c>
    </row>
    <row r="22" spans="3:25">
      <c r="C22">
        <v>1</v>
      </c>
      <c r="D22">
        <v>1</v>
      </c>
      <c r="E22">
        <v>2</v>
      </c>
      <c r="F22">
        <v>3</v>
      </c>
      <c r="G22">
        <v>4</v>
      </c>
      <c r="H22">
        <v>5</v>
      </c>
      <c r="I22">
        <v>6</v>
      </c>
      <c r="J22">
        <v>7</v>
      </c>
      <c r="K22">
        <v>8</v>
      </c>
      <c r="L22">
        <v>9</v>
      </c>
      <c r="M22">
        <v>10</v>
      </c>
      <c r="N22">
        <v>11</v>
      </c>
      <c r="O22">
        <v>12</v>
      </c>
      <c r="P22">
        <v>13</v>
      </c>
      <c r="Q22">
        <v>14</v>
      </c>
      <c r="R22">
        <v>15</v>
      </c>
      <c r="S22">
        <v>16</v>
      </c>
      <c r="T22">
        <v>17</v>
      </c>
      <c r="U22">
        <v>18</v>
      </c>
      <c r="V22">
        <v>19</v>
      </c>
      <c r="W22">
        <v>20</v>
      </c>
      <c r="X22">
        <v>21</v>
      </c>
      <c r="Y22">
        <v>22</v>
      </c>
    </row>
    <row r="23" spans="3:25">
      <c r="C23">
        <v>2</v>
      </c>
      <c r="D23">
        <v>1</v>
      </c>
      <c r="E23">
        <v>2</v>
      </c>
      <c r="F23">
        <v>3</v>
      </c>
      <c r="G23">
        <v>4</v>
      </c>
      <c r="H23">
        <v>5</v>
      </c>
      <c r="I23">
        <v>6</v>
      </c>
      <c r="J23">
        <v>7</v>
      </c>
      <c r="K23">
        <v>8</v>
      </c>
      <c r="L23">
        <v>9</v>
      </c>
      <c r="M23">
        <v>10</v>
      </c>
      <c r="N23">
        <v>11</v>
      </c>
      <c r="O23">
        <v>12</v>
      </c>
      <c r="P23">
        <v>13</v>
      </c>
      <c r="Q23">
        <v>14</v>
      </c>
      <c r="R23">
        <v>15</v>
      </c>
      <c r="S23">
        <v>16</v>
      </c>
      <c r="T23">
        <v>17</v>
      </c>
      <c r="U23">
        <v>18</v>
      </c>
      <c r="V23">
        <v>19</v>
      </c>
      <c r="W23">
        <v>20</v>
      </c>
      <c r="X23">
        <v>21</v>
      </c>
      <c r="Y23">
        <v>22</v>
      </c>
    </row>
    <row r="24" spans="3:25">
      <c r="C24">
        <v>3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7</v>
      </c>
      <c r="K24">
        <v>8</v>
      </c>
      <c r="L24">
        <v>9</v>
      </c>
      <c r="M24">
        <v>10</v>
      </c>
      <c r="N24">
        <v>11</v>
      </c>
      <c r="O24">
        <v>12</v>
      </c>
      <c r="P24">
        <v>13</v>
      </c>
      <c r="Q24">
        <v>14</v>
      </c>
      <c r="R24">
        <v>15</v>
      </c>
      <c r="S24">
        <v>16</v>
      </c>
      <c r="T24">
        <v>17</v>
      </c>
      <c r="U24">
        <v>18</v>
      </c>
      <c r="V24">
        <v>19</v>
      </c>
      <c r="W24">
        <v>20</v>
      </c>
      <c r="X24">
        <v>21</v>
      </c>
      <c r="Y24">
        <v>22</v>
      </c>
    </row>
    <row r="25" spans="3:25">
      <c r="C25">
        <v>4</v>
      </c>
      <c r="D25">
        <v>1</v>
      </c>
      <c r="E25">
        <v>2</v>
      </c>
      <c r="F25">
        <v>3</v>
      </c>
      <c r="G25">
        <v>4</v>
      </c>
      <c r="H25">
        <v>5</v>
      </c>
      <c r="I25">
        <v>6</v>
      </c>
      <c r="J25">
        <v>7</v>
      </c>
      <c r="K25">
        <v>8</v>
      </c>
      <c r="L25">
        <v>9</v>
      </c>
      <c r="M25">
        <v>10</v>
      </c>
      <c r="N25">
        <v>11</v>
      </c>
      <c r="O25">
        <v>12</v>
      </c>
      <c r="P25">
        <v>13</v>
      </c>
      <c r="Q25">
        <v>14</v>
      </c>
      <c r="R25">
        <v>15</v>
      </c>
      <c r="S25">
        <v>16</v>
      </c>
      <c r="T25">
        <v>17</v>
      </c>
      <c r="U25">
        <v>18</v>
      </c>
      <c r="V25">
        <v>19</v>
      </c>
      <c r="W25">
        <v>20</v>
      </c>
      <c r="X25">
        <v>21</v>
      </c>
      <c r="Y25">
        <v>22</v>
      </c>
    </row>
    <row r="26" spans="3:25">
      <c r="C26">
        <v>5</v>
      </c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</row>
    <row r="27" spans="3:25">
      <c r="C27">
        <v>6</v>
      </c>
      <c r="D27">
        <v>1</v>
      </c>
      <c r="E27">
        <v>2</v>
      </c>
      <c r="F27">
        <v>3</v>
      </c>
      <c r="G27">
        <v>4</v>
      </c>
      <c r="H27">
        <v>5</v>
      </c>
      <c r="I27">
        <v>6</v>
      </c>
      <c r="J27">
        <v>7</v>
      </c>
      <c r="K27">
        <v>8</v>
      </c>
      <c r="L27">
        <v>9</v>
      </c>
      <c r="M27">
        <v>10</v>
      </c>
      <c r="N27">
        <v>11</v>
      </c>
      <c r="O27">
        <v>12</v>
      </c>
      <c r="P27">
        <v>13</v>
      </c>
      <c r="Q27">
        <v>14</v>
      </c>
      <c r="R27">
        <v>15</v>
      </c>
      <c r="S27">
        <v>16</v>
      </c>
      <c r="T27">
        <v>17</v>
      </c>
      <c r="U27">
        <v>18</v>
      </c>
      <c r="V27">
        <v>19</v>
      </c>
      <c r="W27">
        <v>20</v>
      </c>
      <c r="X27">
        <v>21</v>
      </c>
      <c r="Y27">
        <v>22</v>
      </c>
    </row>
    <row r="28" spans="3:25">
      <c r="C28">
        <v>7</v>
      </c>
      <c r="D28">
        <v>1</v>
      </c>
      <c r="E28">
        <v>2</v>
      </c>
      <c r="F28">
        <v>3</v>
      </c>
      <c r="G28">
        <v>4</v>
      </c>
      <c r="H28">
        <v>5</v>
      </c>
      <c r="I28">
        <v>6</v>
      </c>
      <c r="J28">
        <v>7</v>
      </c>
      <c r="K28">
        <v>8</v>
      </c>
      <c r="L28">
        <v>9</v>
      </c>
      <c r="M28">
        <v>10</v>
      </c>
      <c r="N28">
        <v>11</v>
      </c>
      <c r="O28">
        <v>12</v>
      </c>
      <c r="P28">
        <v>13</v>
      </c>
      <c r="Q28">
        <v>14</v>
      </c>
      <c r="R28">
        <v>15</v>
      </c>
      <c r="S28">
        <v>16</v>
      </c>
      <c r="T28">
        <v>17</v>
      </c>
      <c r="U28">
        <v>18</v>
      </c>
      <c r="V28">
        <v>19</v>
      </c>
      <c r="W28">
        <v>20</v>
      </c>
      <c r="X28">
        <v>21</v>
      </c>
      <c r="Y28">
        <v>22</v>
      </c>
    </row>
    <row r="29" spans="3:25">
      <c r="C29">
        <v>8</v>
      </c>
      <c r="D29">
        <v>1</v>
      </c>
      <c r="E29">
        <v>2</v>
      </c>
      <c r="F29">
        <v>3</v>
      </c>
      <c r="G29">
        <v>4</v>
      </c>
      <c r="H29">
        <v>5</v>
      </c>
      <c r="I29">
        <v>6</v>
      </c>
      <c r="J29">
        <v>7</v>
      </c>
      <c r="K29">
        <v>8</v>
      </c>
      <c r="L29">
        <v>9</v>
      </c>
      <c r="M29">
        <v>10</v>
      </c>
      <c r="N29">
        <v>11</v>
      </c>
      <c r="O29">
        <v>12</v>
      </c>
      <c r="P29">
        <v>13</v>
      </c>
      <c r="Q29">
        <v>14</v>
      </c>
      <c r="R29">
        <v>15</v>
      </c>
      <c r="S29">
        <v>16</v>
      </c>
      <c r="T29">
        <v>17</v>
      </c>
      <c r="U29">
        <v>18</v>
      </c>
      <c r="V29">
        <v>19</v>
      </c>
      <c r="W29">
        <v>20</v>
      </c>
      <c r="X29">
        <v>21</v>
      </c>
      <c r="Y29">
        <v>22</v>
      </c>
    </row>
    <row r="30" spans="3:25">
      <c r="C30">
        <v>9</v>
      </c>
      <c r="D30">
        <v>1</v>
      </c>
      <c r="E30">
        <v>2</v>
      </c>
      <c r="F30">
        <v>3</v>
      </c>
      <c r="G30">
        <v>4</v>
      </c>
      <c r="H30">
        <v>5</v>
      </c>
      <c r="I30">
        <v>6</v>
      </c>
      <c r="J30">
        <v>7</v>
      </c>
      <c r="K30">
        <v>8</v>
      </c>
      <c r="L30">
        <v>9</v>
      </c>
      <c r="M30">
        <v>10</v>
      </c>
      <c r="N30">
        <v>11</v>
      </c>
      <c r="O30">
        <v>12</v>
      </c>
      <c r="P30">
        <v>13</v>
      </c>
      <c r="Q30">
        <v>14</v>
      </c>
      <c r="R30">
        <v>15</v>
      </c>
      <c r="S30">
        <v>16</v>
      </c>
      <c r="T30">
        <v>17</v>
      </c>
      <c r="U30">
        <v>18</v>
      </c>
      <c r="V30">
        <v>19</v>
      </c>
      <c r="W30">
        <v>20</v>
      </c>
      <c r="X30">
        <v>21</v>
      </c>
      <c r="Y30">
        <v>22</v>
      </c>
    </row>
    <row r="31" spans="3:25">
      <c r="C31">
        <v>10</v>
      </c>
      <c r="D31">
        <v>1</v>
      </c>
      <c r="E31">
        <v>2</v>
      </c>
      <c r="F31">
        <v>3</v>
      </c>
      <c r="G31">
        <v>4</v>
      </c>
      <c r="H31">
        <v>5</v>
      </c>
      <c r="I31">
        <v>6</v>
      </c>
      <c r="J31">
        <v>7</v>
      </c>
      <c r="K31">
        <v>8</v>
      </c>
      <c r="L31">
        <v>9</v>
      </c>
      <c r="M31">
        <v>10</v>
      </c>
      <c r="N31">
        <v>11</v>
      </c>
      <c r="O31">
        <v>12</v>
      </c>
      <c r="P31">
        <v>13</v>
      </c>
      <c r="Q31">
        <v>14</v>
      </c>
      <c r="R31">
        <v>15</v>
      </c>
      <c r="S31">
        <v>16</v>
      </c>
      <c r="T31">
        <v>17</v>
      </c>
      <c r="U31">
        <v>18</v>
      </c>
      <c r="V31">
        <v>19</v>
      </c>
      <c r="W31">
        <v>20</v>
      </c>
      <c r="X31">
        <v>21</v>
      </c>
      <c r="Y31">
        <v>22</v>
      </c>
    </row>
    <row r="32" spans="3:25">
      <c r="V32" s="10"/>
    </row>
    <row r="33" spans="22:22">
      <c r="V33" s="10"/>
    </row>
    <row r="34" spans="22:22">
      <c r="V34" s="10"/>
    </row>
    <row r="35" spans="22:22">
      <c r="V35" s="10"/>
    </row>
    <row r="68" spans="7:25">
      <c r="G68" s="1"/>
      <c r="H68" s="1"/>
      <c r="I68" s="1"/>
      <c r="J68" s="1"/>
      <c r="L68" s="1"/>
      <c r="M68" s="1"/>
      <c r="N68" s="1"/>
      <c r="O68" s="1"/>
      <c r="W68" s="1"/>
      <c r="X68" s="1"/>
      <c r="Y68" s="1"/>
    </row>
    <row r="69" spans="7:25">
      <c r="K69" s="1"/>
    </row>
    <row r="696" spans="26:26">
      <c r="Z696" s="1"/>
    </row>
  </sheetData>
  <sortState xmlns:xlrd2="http://schemas.microsoft.com/office/spreadsheetml/2017/richdata2" ref="V22:V34">
    <sortCondition ref="V22"/>
  </sortState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E49"/>
  <sheetViews>
    <sheetView tabSelected="1" zoomScale="160" zoomScaleNormal="160" workbookViewId="0">
      <selection activeCell="A2" sqref="A2:E13"/>
    </sheetView>
  </sheetViews>
  <sheetFormatPr defaultRowHeight="13.5"/>
  <cols>
    <col min="1" max="1" width="19.5" bestFit="1" customWidth="1"/>
    <col min="2" max="2" width="16.125" bestFit="1" customWidth="1"/>
    <col min="3" max="3" width="22.5" bestFit="1" customWidth="1"/>
  </cols>
  <sheetData>
    <row r="1" spans="1:5">
      <c r="A1" t="s">
        <v>167</v>
      </c>
      <c r="B1" t="s">
        <v>220</v>
      </c>
      <c r="C1" t="s">
        <v>177</v>
      </c>
      <c r="D1" t="s">
        <v>178</v>
      </c>
      <c r="E1" t="s">
        <v>168</v>
      </c>
    </row>
    <row r="2" spans="1:5">
      <c r="A2" t="s">
        <v>163</v>
      </c>
      <c r="B2" t="s">
        <v>179</v>
      </c>
      <c r="C2">
        <v>192</v>
      </c>
      <c r="D2">
        <v>0</v>
      </c>
      <c r="E2">
        <v>0</v>
      </c>
    </row>
    <row r="3" spans="1:5">
      <c r="A3" t="s">
        <v>222</v>
      </c>
      <c r="B3" t="s">
        <v>179</v>
      </c>
      <c r="C3">
        <v>255</v>
      </c>
      <c r="D3">
        <v>0</v>
      </c>
      <c r="E3">
        <v>0</v>
      </c>
    </row>
    <row r="4" spans="1:5">
      <c r="A4" t="s">
        <v>9</v>
      </c>
      <c r="B4" t="s">
        <v>179</v>
      </c>
      <c r="C4">
        <v>255</v>
      </c>
      <c r="D4">
        <v>192</v>
      </c>
      <c r="E4">
        <v>0</v>
      </c>
    </row>
    <row r="5" spans="1:5">
      <c r="A5" t="s">
        <v>6</v>
      </c>
      <c r="B5" t="s">
        <v>179</v>
      </c>
      <c r="C5">
        <v>255</v>
      </c>
      <c r="D5">
        <v>255</v>
      </c>
      <c r="E5">
        <v>0</v>
      </c>
    </row>
    <row r="6" spans="1:5">
      <c r="A6" t="s">
        <v>165</v>
      </c>
      <c r="B6" t="s">
        <v>179</v>
      </c>
      <c r="C6">
        <v>146</v>
      </c>
      <c r="D6">
        <v>208</v>
      </c>
      <c r="E6">
        <v>80</v>
      </c>
    </row>
    <row r="7" spans="1:5">
      <c r="A7" t="s">
        <v>7</v>
      </c>
      <c r="B7" t="s">
        <v>179</v>
      </c>
      <c r="C7">
        <v>0</v>
      </c>
      <c r="D7">
        <v>176</v>
      </c>
      <c r="E7">
        <v>80</v>
      </c>
    </row>
    <row r="8" spans="1:5">
      <c r="A8" t="s">
        <v>164</v>
      </c>
      <c r="B8" t="s">
        <v>179</v>
      </c>
      <c r="C8">
        <v>0</v>
      </c>
      <c r="D8">
        <v>176</v>
      </c>
      <c r="E8">
        <v>240</v>
      </c>
    </row>
    <row r="9" spans="1:5">
      <c r="A9" t="s">
        <v>8</v>
      </c>
      <c r="B9" t="s">
        <v>179</v>
      </c>
      <c r="C9">
        <v>0</v>
      </c>
      <c r="D9">
        <v>112</v>
      </c>
      <c r="E9">
        <v>192</v>
      </c>
    </row>
    <row r="10" spans="1:5">
      <c r="A10" t="s">
        <v>166</v>
      </c>
      <c r="B10" t="s">
        <v>179</v>
      </c>
      <c r="C10">
        <v>0</v>
      </c>
      <c r="D10">
        <v>32</v>
      </c>
      <c r="E10">
        <v>96</v>
      </c>
    </row>
    <row r="11" spans="1:5">
      <c r="A11" t="s">
        <v>10</v>
      </c>
      <c r="B11" t="s">
        <v>179</v>
      </c>
      <c r="C11">
        <v>112</v>
      </c>
      <c r="D11">
        <v>48</v>
      </c>
      <c r="E11">
        <v>160</v>
      </c>
    </row>
    <row r="12" spans="1:5">
      <c r="A12" t="s">
        <v>169</v>
      </c>
      <c r="B12" t="s">
        <v>179</v>
      </c>
      <c r="C12">
        <v>192</v>
      </c>
      <c r="D12">
        <v>192</v>
      </c>
      <c r="E12">
        <v>192</v>
      </c>
    </row>
    <row r="13" spans="1:5">
      <c r="A13" t="s">
        <v>11</v>
      </c>
      <c r="B13" t="s">
        <v>179</v>
      </c>
      <c r="C13">
        <v>150</v>
      </c>
      <c r="D13">
        <v>150</v>
      </c>
      <c r="E13">
        <v>150</v>
      </c>
    </row>
    <row r="14" spans="1:5">
      <c r="A14" s="8" t="s">
        <v>170</v>
      </c>
      <c r="B14" s="8" t="s">
        <v>180</v>
      </c>
      <c r="C14" t="s">
        <v>186</v>
      </c>
      <c r="D14">
        <v>0</v>
      </c>
    </row>
    <row r="15" spans="1:5">
      <c r="A15" s="8" t="s">
        <v>181</v>
      </c>
      <c r="B15" s="8" t="s">
        <v>180</v>
      </c>
      <c r="C15" t="s">
        <v>186</v>
      </c>
      <c r="D15">
        <v>0.8</v>
      </c>
    </row>
    <row r="16" spans="1:5">
      <c r="A16" s="8" t="s">
        <v>182</v>
      </c>
      <c r="B16" s="8" t="s">
        <v>180</v>
      </c>
      <c r="C16" t="s">
        <v>186</v>
      </c>
      <c r="D16">
        <v>0.6</v>
      </c>
    </row>
    <row r="17" spans="1:4">
      <c r="A17" s="8" t="s">
        <v>183</v>
      </c>
      <c r="B17" s="8" t="s">
        <v>180</v>
      </c>
      <c r="C17" t="s">
        <v>186</v>
      </c>
      <c r="D17">
        <v>0.4</v>
      </c>
    </row>
    <row r="18" spans="1:4">
      <c r="A18" s="8" t="s">
        <v>184</v>
      </c>
      <c r="B18" s="8" t="s">
        <v>180</v>
      </c>
      <c r="C18" t="s">
        <v>186</v>
      </c>
      <c r="D18">
        <v>-0.25</v>
      </c>
    </row>
    <row r="19" spans="1:4">
      <c r="A19" s="8" t="s">
        <v>185</v>
      </c>
      <c r="B19" s="8" t="s">
        <v>180</v>
      </c>
      <c r="C19" t="s">
        <v>186</v>
      </c>
      <c r="D19">
        <v>-0.5</v>
      </c>
    </row>
    <row r="20" spans="1:4">
      <c r="A20" s="8" t="s">
        <v>171</v>
      </c>
      <c r="B20" s="8" t="s">
        <v>180</v>
      </c>
      <c r="C20" t="s">
        <v>187</v>
      </c>
      <c r="D20">
        <v>0</v>
      </c>
    </row>
    <row r="21" spans="1:4">
      <c r="A21" s="8" t="s">
        <v>188</v>
      </c>
      <c r="B21" s="8" t="s">
        <v>180</v>
      </c>
      <c r="C21" t="s">
        <v>187</v>
      </c>
      <c r="D21">
        <v>0.8</v>
      </c>
    </row>
    <row r="22" spans="1:4">
      <c r="A22" s="8" t="s">
        <v>189</v>
      </c>
      <c r="B22" s="8" t="s">
        <v>180</v>
      </c>
      <c r="C22" t="s">
        <v>187</v>
      </c>
      <c r="D22">
        <v>0.6</v>
      </c>
    </row>
    <row r="23" spans="1:4">
      <c r="A23" s="8" t="s">
        <v>190</v>
      </c>
      <c r="B23" s="8" t="s">
        <v>180</v>
      </c>
      <c r="C23" t="s">
        <v>187</v>
      </c>
      <c r="D23">
        <v>0.4</v>
      </c>
    </row>
    <row r="24" spans="1:4">
      <c r="A24" s="8" t="s">
        <v>191</v>
      </c>
      <c r="B24" s="8" t="s">
        <v>180</v>
      </c>
      <c r="C24" t="s">
        <v>187</v>
      </c>
      <c r="D24">
        <v>-0.25</v>
      </c>
    </row>
    <row r="25" spans="1:4">
      <c r="A25" s="8" t="s">
        <v>192</v>
      </c>
      <c r="B25" s="8" t="s">
        <v>180</v>
      </c>
      <c r="C25" t="s">
        <v>187</v>
      </c>
      <c r="D25">
        <v>-0.5</v>
      </c>
    </row>
    <row r="26" spans="1:4">
      <c r="A26" s="8" t="s">
        <v>172</v>
      </c>
      <c r="B26" s="8" t="s">
        <v>180</v>
      </c>
      <c r="C26" t="s">
        <v>193</v>
      </c>
      <c r="D26">
        <v>0</v>
      </c>
    </row>
    <row r="27" spans="1:4">
      <c r="A27" s="8" t="s">
        <v>194</v>
      </c>
      <c r="B27" s="8" t="s">
        <v>180</v>
      </c>
      <c r="C27" t="s">
        <v>193</v>
      </c>
      <c r="D27">
        <v>0.8</v>
      </c>
    </row>
    <row r="28" spans="1:4">
      <c r="A28" s="8" t="s">
        <v>195</v>
      </c>
      <c r="B28" s="8" t="s">
        <v>180</v>
      </c>
      <c r="C28" t="s">
        <v>193</v>
      </c>
      <c r="D28">
        <v>0.6</v>
      </c>
    </row>
    <row r="29" spans="1:4">
      <c r="A29" s="8" t="s">
        <v>196</v>
      </c>
      <c r="B29" s="8" t="s">
        <v>180</v>
      </c>
      <c r="C29" t="s">
        <v>193</v>
      </c>
      <c r="D29">
        <v>0.4</v>
      </c>
    </row>
    <row r="30" spans="1:4">
      <c r="A30" s="8" t="s">
        <v>197</v>
      </c>
      <c r="B30" s="8" t="s">
        <v>180</v>
      </c>
      <c r="C30" t="s">
        <v>193</v>
      </c>
      <c r="D30">
        <v>-0.25</v>
      </c>
    </row>
    <row r="31" spans="1:4">
      <c r="A31" s="8" t="s">
        <v>198</v>
      </c>
      <c r="B31" s="8" t="s">
        <v>180</v>
      </c>
      <c r="C31" t="s">
        <v>193</v>
      </c>
      <c r="D31">
        <v>-0.5</v>
      </c>
    </row>
    <row r="32" spans="1:4">
      <c r="A32" s="8" t="s">
        <v>173</v>
      </c>
      <c r="B32" s="8" t="s">
        <v>180</v>
      </c>
      <c r="C32" t="s">
        <v>199</v>
      </c>
      <c r="D32">
        <v>0</v>
      </c>
    </row>
    <row r="33" spans="1:4">
      <c r="A33" s="8" t="s">
        <v>200</v>
      </c>
      <c r="B33" s="8" t="s">
        <v>180</v>
      </c>
      <c r="C33" t="s">
        <v>199</v>
      </c>
      <c r="D33">
        <v>0.8</v>
      </c>
    </row>
    <row r="34" spans="1:4">
      <c r="A34" s="8" t="s">
        <v>201</v>
      </c>
      <c r="B34" s="8" t="s">
        <v>180</v>
      </c>
      <c r="C34" t="s">
        <v>199</v>
      </c>
      <c r="D34">
        <v>0.6</v>
      </c>
    </row>
    <row r="35" spans="1:4">
      <c r="A35" s="8" t="s">
        <v>202</v>
      </c>
      <c r="B35" s="8" t="s">
        <v>180</v>
      </c>
      <c r="C35" t="s">
        <v>199</v>
      </c>
      <c r="D35">
        <v>0.4</v>
      </c>
    </row>
    <row r="36" spans="1:4">
      <c r="A36" s="8" t="s">
        <v>203</v>
      </c>
      <c r="B36" s="8" t="s">
        <v>180</v>
      </c>
      <c r="C36" t="s">
        <v>199</v>
      </c>
      <c r="D36">
        <v>-0.25</v>
      </c>
    </row>
    <row r="37" spans="1:4">
      <c r="A37" s="8" t="s">
        <v>204</v>
      </c>
      <c r="B37" s="8" t="s">
        <v>180</v>
      </c>
      <c r="C37" t="s">
        <v>199</v>
      </c>
      <c r="D37">
        <v>-0.5</v>
      </c>
    </row>
    <row r="38" spans="1:4">
      <c r="A38" s="8" t="s">
        <v>174</v>
      </c>
      <c r="B38" s="8" t="s">
        <v>180</v>
      </c>
      <c r="C38" t="s">
        <v>205</v>
      </c>
      <c r="D38">
        <v>0</v>
      </c>
    </row>
    <row r="39" spans="1:4">
      <c r="A39" s="8" t="s">
        <v>206</v>
      </c>
      <c r="B39" s="8" t="s">
        <v>180</v>
      </c>
      <c r="C39" t="s">
        <v>205</v>
      </c>
      <c r="D39">
        <v>0.8</v>
      </c>
    </row>
    <row r="40" spans="1:4">
      <c r="A40" s="8" t="s">
        <v>207</v>
      </c>
      <c r="B40" s="8" t="s">
        <v>180</v>
      </c>
      <c r="C40" t="s">
        <v>205</v>
      </c>
      <c r="D40">
        <v>0.6</v>
      </c>
    </row>
    <row r="41" spans="1:4">
      <c r="A41" s="8" t="s">
        <v>208</v>
      </c>
      <c r="B41" s="8" t="s">
        <v>180</v>
      </c>
      <c r="C41" t="s">
        <v>205</v>
      </c>
      <c r="D41">
        <v>0.4</v>
      </c>
    </row>
    <row r="42" spans="1:4">
      <c r="A42" s="8" t="s">
        <v>209</v>
      </c>
      <c r="B42" s="8" t="s">
        <v>180</v>
      </c>
      <c r="C42" t="s">
        <v>205</v>
      </c>
      <c r="D42">
        <v>-0.25</v>
      </c>
    </row>
    <row r="43" spans="1:4">
      <c r="A43" s="8" t="s">
        <v>210</v>
      </c>
      <c r="B43" s="8" t="s">
        <v>180</v>
      </c>
      <c r="C43" t="s">
        <v>205</v>
      </c>
      <c r="D43">
        <v>-0.5</v>
      </c>
    </row>
    <row r="44" spans="1:4">
      <c r="A44" s="8" t="s">
        <v>175</v>
      </c>
      <c r="B44" s="8" t="s">
        <v>180</v>
      </c>
      <c r="C44" t="s">
        <v>211</v>
      </c>
      <c r="D44">
        <v>0</v>
      </c>
    </row>
    <row r="45" spans="1:4">
      <c r="A45" s="8" t="s">
        <v>212</v>
      </c>
      <c r="B45" s="8" t="s">
        <v>180</v>
      </c>
      <c r="C45" t="s">
        <v>211</v>
      </c>
      <c r="D45">
        <v>0.8</v>
      </c>
    </row>
    <row r="46" spans="1:4">
      <c r="A46" s="8" t="s">
        <v>213</v>
      </c>
      <c r="B46" s="8" t="s">
        <v>180</v>
      </c>
      <c r="C46" t="s">
        <v>211</v>
      </c>
      <c r="D46">
        <v>0.6</v>
      </c>
    </row>
    <row r="47" spans="1:4">
      <c r="A47" s="8" t="s">
        <v>214</v>
      </c>
      <c r="B47" s="8" t="s">
        <v>180</v>
      </c>
      <c r="C47" t="s">
        <v>211</v>
      </c>
      <c r="D47">
        <v>0.4</v>
      </c>
    </row>
    <row r="48" spans="1:4">
      <c r="A48" s="8" t="s">
        <v>215</v>
      </c>
      <c r="B48" s="8" t="s">
        <v>180</v>
      </c>
      <c r="C48" t="s">
        <v>211</v>
      </c>
      <c r="D48">
        <v>-0.25</v>
      </c>
    </row>
    <row r="49" spans="1:4">
      <c r="A49" s="8" t="s">
        <v>216</v>
      </c>
      <c r="B49" s="8" t="s">
        <v>180</v>
      </c>
      <c r="C49" t="s">
        <v>211</v>
      </c>
      <c r="D49">
        <v>-0.5</v>
      </c>
    </row>
  </sheetData>
  <sheetProtection sheet="1" objects="1" scenarios="1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D76"/>
  <sheetViews>
    <sheetView zoomScale="160" zoomScaleNormal="160" workbookViewId="0">
      <selection activeCell="C21" sqref="C21"/>
    </sheetView>
  </sheetViews>
  <sheetFormatPr defaultRowHeight="13.5"/>
  <cols>
    <col min="1" max="1" width="27.25" bestFit="1" customWidth="1"/>
    <col min="2" max="2" width="6.5" bestFit="1" customWidth="1"/>
    <col min="3" max="3" width="36.125" bestFit="1" customWidth="1"/>
  </cols>
  <sheetData>
    <row r="1" spans="1:3">
      <c r="A1" s="3" t="s">
        <v>150</v>
      </c>
      <c r="B1" s="3" t="s">
        <v>12</v>
      </c>
      <c r="C1" s="3" t="s">
        <v>151</v>
      </c>
    </row>
    <row r="2" spans="1:3">
      <c r="A2" s="4" t="s">
        <v>13</v>
      </c>
      <c r="B2" s="4">
        <v>-4098</v>
      </c>
      <c r="C2" s="4" t="s">
        <v>14</v>
      </c>
    </row>
    <row r="3" spans="1:3">
      <c r="A3" s="4" t="s">
        <v>176</v>
      </c>
      <c r="B3" s="4">
        <v>78</v>
      </c>
      <c r="C3" s="4" t="s">
        <v>15</v>
      </c>
    </row>
    <row r="4" spans="1:3">
      <c r="A4" s="4" t="s">
        <v>16</v>
      </c>
      <c r="B4" s="4">
        <v>79</v>
      </c>
      <c r="C4" s="4" t="s">
        <v>17</v>
      </c>
    </row>
    <row r="5" spans="1:3">
      <c r="A5" s="4" t="s">
        <v>18</v>
      </c>
      <c r="B5" s="4">
        <v>60</v>
      </c>
      <c r="C5" s="4" t="s">
        <v>19</v>
      </c>
    </row>
    <row r="6" spans="1:3">
      <c r="A6" s="4" t="s">
        <v>20</v>
      </c>
      <c r="B6" s="4">
        <v>61</v>
      </c>
      <c r="C6" s="4" t="s">
        <v>21</v>
      </c>
    </row>
    <row r="7" spans="1:3">
      <c r="A7" s="4" t="s">
        <v>22</v>
      </c>
      <c r="B7" s="4">
        <v>62</v>
      </c>
      <c r="C7" s="4" t="s">
        <v>23</v>
      </c>
    </row>
    <row r="8" spans="1:3">
      <c r="A8" s="4" t="s">
        <v>24</v>
      </c>
      <c r="B8" s="4">
        <v>-4100</v>
      </c>
      <c r="C8" s="4" t="s">
        <v>25</v>
      </c>
    </row>
    <row r="9" spans="1:3">
      <c r="A9" s="4" t="s">
        <v>26</v>
      </c>
      <c r="B9" s="4">
        <v>54</v>
      </c>
      <c r="C9" s="4" t="s">
        <v>27</v>
      </c>
    </row>
    <row r="10" spans="1:3">
      <c r="A10" s="4" t="s">
        <v>28</v>
      </c>
      <c r="B10" s="4">
        <v>55</v>
      </c>
      <c r="C10" s="4" t="s">
        <v>29</v>
      </c>
    </row>
    <row r="11" spans="1:3">
      <c r="A11" s="4" t="s">
        <v>30</v>
      </c>
      <c r="B11" s="4">
        <v>56</v>
      </c>
      <c r="C11" s="4" t="s">
        <v>31</v>
      </c>
    </row>
    <row r="12" spans="1:3">
      <c r="A12" s="4" t="s">
        <v>32</v>
      </c>
      <c r="B12" s="4">
        <v>-4101</v>
      </c>
      <c r="C12" s="4" t="s">
        <v>33</v>
      </c>
    </row>
    <row r="13" spans="1:3">
      <c r="A13" s="4" t="s">
        <v>34</v>
      </c>
      <c r="B13" s="4">
        <v>-4102</v>
      </c>
      <c r="C13" s="4" t="s">
        <v>35</v>
      </c>
    </row>
    <row r="14" spans="1:3">
      <c r="A14" s="4" t="s">
        <v>36</v>
      </c>
      <c r="B14" s="4">
        <v>70</v>
      </c>
      <c r="C14" s="4" t="s">
        <v>37</v>
      </c>
    </row>
    <row r="15" spans="1:3">
      <c r="A15" s="4" t="s">
        <v>38</v>
      </c>
      <c r="B15" s="4">
        <v>1</v>
      </c>
      <c r="C15" s="4" t="s">
        <v>152</v>
      </c>
    </row>
    <row r="16" spans="1:3">
      <c r="A16" s="4" t="s">
        <v>153</v>
      </c>
      <c r="B16" s="4">
        <v>76</v>
      </c>
      <c r="C16" s="4" t="s">
        <v>39</v>
      </c>
    </row>
    <row r="17" spans="1:4">
      <c r="A17" s="4" t="s">
        <v>40</v>
      </c>
      <c r="B17" s="4">
        <v>77</v>
      </c>
      <c r="C17" s="4" t="s">
        <v>17</v>
      </c>
    </row>
    <row r="18" spans="1:4">
      <c r="A18" s="4" t="s">
        <v>41</v>
      </c>
      <c r="B18" s="4">
        <v>57</v>
      </c>
      <c r="C18" s="4" t="s">
        <v>42</v>
      </c>
      <c r="D18" t="s">
        <v>156</v>
      </c>
    </row>
    <row r="19" spans="1:4">
      <c r="A19" s="4" t="s">
        <v>43</v>
      </c>
      <c r="B19" s="4">
        <v>71</v>
      </c>
      <c r="C19" s="4" t="s">
        <v>44</v>
      </c>
      <c r="D19" t="s">
        <v>156</v>
      </c>
    </row>
    <row r="20" spans="1:4">
      <c r="A20" s="4" t="s">
        <v>45</v>
      </c>
      <c r="B20" s="4">
        <v>58</v>
      </c>
      <c r="C20" s="4" t="s">
        <v>46</v>
      </c>
      <c r="D20" t="s">
        <v>156</v>
      </c>
    </row>
    <row r="21" spans="1:4">
      <c r="A21" s="4" t="s">
        <v>47</v>
      </c>
      <c r="B21" s="4">
        <v>59</v>
      </c>
      <c r="C21" s="4" t="s">
        <v>221</v>
      </c>
      <c r="D21" t="s">
        <v>156</v>
      </c>
    </row>
    <row r="22" spans="1:4">
      <c r="A22" s="4" t="s">
        <v>48</v>
      </c>
      <c r="B22" s="4">
        <v>15</v>
      </c>
      <c r="C22" s="4" t="s">
        <v>49</v>
      </c>
    </row>
    <row r="23" spans="1:4">
      <c r="A23" s="4" t="s">
        <v>50</v>
      </c>
      <c r="B23" s="4">
        <v>87</v>
      </c>
      <c r="C23" s="4" t="s">
        <v>51</v>
      </c>
    </row>
    <row r="24" spans="1:4">
      <c r="A24" s="4" t="s">
        <v>52</v>
      </c>
      <c r="B24" s="4">
        <v>51</v>
      </c>
      <c r="C24" s="4" t="s">
        <v>53</v>
      </c>
      <c r="D24" t="s">
        <v>156</v>
      </c>
    </row>
    <row r="25" spans="1:4">
      <c r="A25" s="4" t="s">
        <v>158</v>
      </c>
      <c r="B25" s="4">
        <v>52</v>
      </c>
      <c r="C25" s="4" t="s">
        <v>54</v>
      </c>
      <c r="D25" t="s">
        <v>156</v>
      </c>
    </row>
    <row r="26" spans="1:4">
      <c r="A26" s="4" t="s">
        <v>55</v>
      </c>
      <c r="B26" s="4">
        <v>53</v>
      </c>
      <c r="C26" s="4" t="s">
        <v>56</v>
      </c>
    </row>
    <row r="27" spans="1:4">
      <c r="A27" s="4" t="s">
        <v>57</v>
      </c>
      <c r="B27" s="4">
        <v>102</v>
      </c>
      <c r="C27" s="4" t="s">
        <v>58</v>
      </c>
    </row>
    <row r="28" spans="1:4">
      <c r="A28" s="4" t="s">
        <v>59</v>
      </c>
      <c r="B28" s="4">
        <v>103</v>
      </c>
      <c r="C28" s="4" t="s">
        <v>60</v>
      </c>
    </row>
    <row r="29" spans="1:4">
      <c r="A29" s="4" t="s">
        <v>61</v>
      </c>
      <c r="B29" s="4">
        <v>104</v>
      </c>
      <c r="C29" s="4" t="s">
        <v>62</v>
      </c>
    </row>
    <row r="30" spans="1:4">
      <c r="A30" s="4" t="s">
        <v>63</v>
      </c>
      <c r="B30" s="4">
        <v>105</v>
      </c>
      <c r="C30" s="4" t="s">
        <v>64</v>
      </c>
    </row>
    <row r="31" spans="1:4">
      <c r="A31" s="4" t="s">
        <v>65</v>
      </c>
      <c r="B31" s="4">
        <v>99</v>
      </c>
      <c r="C31" s="4" t="s">
        <v>66</v>
      </c>
    </row>
    <row r="32" spans="1:4">
      <c r="A32" s="4" t="s">
        <v>67</v>
      </c>
      <c r="B32" s="4">
        <v>100</v>
      </c>
      <c r="C32" s="4" t="s">
        <v>68</v>
      </c>
    </row>
    <row r="33" spans="1:4">
      <c r="A33" s="4" t="s">
        <v>69</v>
      </c>
      <c r="B33" s="4">
        <v>101</v>
      </c>
      <c r="C33" s="4" t="s">
        <v>70</v>
      </c>
    </row>
    <row r="34" spans="1:4">
      <c r="A34" s="4" t="s">
        <v>71</v>
      </c>
      <c r="B34" s="4">
        <v>95</v>
      </c>
      <c r="C34" s="4" t="s">
        <v>72</v>
      </c>
    </row>
    <row r="35" spans="1:4">
      <c r="A35" s="4" t="s">
        <v>73</v>
      </c>
      <c r="B35" s="4">
        <v>96</v>
      </c>
      <c r="C35" s="4" t="s">
        <v>74</v>
      </c>
    </row>
    <row r="36" spans="1:4">
      <c r="A36" s="4" t="s">
        <v>75</v>
      </c>
      <c r="B36" s="4">
        <v>97</v>
      </c>
      <c r="C36" s="4" t="s">
        <v>76</v>
      </c>
    </row>
    <row r="37" spans="1:4">
      <c r="A37" s="4" t="s">
        <v>77</v>
      </c>
      <c r="B37" s="4">
        <v>98</v>
      </c>
      <c r="C37" s="4" t="s">
        <v>78</v>
      </c>
    </row>
    <row r="38" spans="1:4">
      <c r="A38" s="4" t="s">
        <v>79</v>
      </c>
      <c r="B38" s="4">
        <v>92</v>
      </c>
      <c r="C38" s="4" t="s">
        <v>66</v>
      </c>
    </row>
    <row r="39" spans="1:4">
      <c r="A39" s="4" t="s">
        <v>80</v>
      </c>
      <c r="B39" s="4">
        <v>93</v>
      </c>
      <c r="C39" s="4" t="s">
        <v>68</v>
      </c>
    </row>
    <row r="40" spans="1:4">
      <c r="A40" s="4" t="s">
        <v>81</v>
      </c>
      <c r="B40" s="4">
        <v>94</v>
      </c>
      <c r="C40" s="4" t="s">
        <v>82</v>
      </c>
    </row>
    <row r="41" spans="1:4">
      <c r="A41" s="4" t="s">
        <v>83</v>
      </c>
      <c r="B41" s="4">
        <v>-4120</v>
      </c>
      <c r="C41" s="4" t="s">
        <v>84</v>
      </c>
    </row>
    <row r="42" spans="1:4">
      <c r="A42" s="4" t="s">
        <v>85</v>
      </c>
      <c r="B42" s="4">
        <v>80</v>
      </c>
      <c r="C42" s="4" t="s">
        <v>86</v>
      </c>
    </row>
    <row r="43" spans="1:4">
      <c r="A43" s="4" t="s">
        <v>87</v>
      </c>
      <c r="B43" s="4">
        <v>4</v>
      </c>
      <c r="C43" s="4" t="s">
        <v>88</v>
      </c>
      <c r="D43" t="s">
        <v>156</v>
      </c>
    </row>
    <row r="44" spans="1:4">
      <c r="A44" s="4" t="s">
        <v>89</v>
      </c>
      <c r="B44" s="4">
        <v>65</v>
      </c>
      <c r="C44" s="4" t="s">
        <v>90</v>
      </c>
      <c r="D44" t="s">
        <v>156</v>
      </c>
    </row>
    <row r="45" spans="1:4">
      <c r="A45" s="4" t="s">
        <v>91</v>
      </c>
      <c r="B45" s="4">
        <v>66</v>
      </c>
      <c r="C45" s="4" t="s">
        <v>92</v>
      </c>
      <c r="D45" t="s">
        <v>156</v>
      </c>
    </row>
    <row r="46" spans="1:4">
      <c r="A46" s="4" t="s">
        <v>93</v>
      </c>
      <c r="B46" s="4">
        <v>67</v>
      </c>
      <c r="C46" s="4" t="s">
        <v>94</v>
      </c>
      <c r="D46" t="s">
        <v>156</v>
      </c>
    </row>
    <row r="47" spans="1:4">
      <c r="A47" s="4" t="s">
        <v>95</v>
      </c>
      <c r="B47" s="4">
        <v>63</v>
      </c>
      <c r="C47" s="4" t="s">
        <v>96</v>
      </c>
      <c r="D47" t="s">
        <v>156</v>
      </c>
    </row>
    <row r="48" spans="1:4">
      <c r="A48" s="4" t="s">
        <v>97</v>
      </c>
      <c r="B48" s="4">
        <v>64</v>
      </c>
      <c r="C48" s="4" t="s">
        <v>98</v>
      </c>
      <c r="D48" t="s">
        <v>156</v>
      </c>
    </row>
    <row r="49" spans="1:3">
      <c r="A49" s="4" t="s">
        <v>99</v>
      </c>
      <c r="B49" s="4">
        <v>5</v>
      </c>
      <c r="C49" s="4" t="s">
        <v>100</v>
      </c>
    </row>
    <row r="50" spans="1:3">
      <c r="A50" s="4" t="s">
        <v>101</v>
      </c>
      <c r="B50" s="4">
        <v>69</v>
      </c>
      <c r="C50" s="4" t="s">
        <v>102</v>
      </c>
    </row>
    <row r="51" spans="1:3">
      <c r="A51" s="4" t="s">
        <v>103</v>
      </c>
      <c r="B51" s="4">
        <v>68</v>
      </c>
      <c r="C51" s="4" t="s">
        <v>104</v>
      </c>
    </row>
    <row r="52" spans="1:3">
      <c r="A52" s="4" t="s">
        <v>105</v>
      </c>
      <c r="B52" s="4">
        <v>109</v>
      </c>
      <c r="C52" s="4" t="s">
        <v>106</v>
      </c>
    </row>
    <row r="53" spans="1:3">
      <c r="A53" s="4" t="s">
        <v>107</v>
      </c>
      <c r="B53" s="4">
        <v>110</v>
      </c>
      <c r="C53" s="4" t="s">
        <v>108</v>
      </c>
    </row>
    <row r="54" spans="1:3">
      <c r="A54" s="4" t="s">
        <v>109</v>
      </c>
      <c r="B54" s="4">
        <v>111</v>
      </c>
      <c r="C54" s="4" t="s">
        <v>110</v>
      </c>
    </row>
    <row r="55" spans="1:3">
      <c r="A55" s="4" t="s">
        <v>111</v>
      </c>
      <c r="B55" s="4">
        <v>112</v>
      </c>
      <c r="C55" s="4" t="s">
        <v>112</v>
      </c>
    </row>
    <row r="56" spans="1:3">
      <c r="A56" s="4" t="s">
        <v>113</v>
      </c>
      <c r="B56" s="4">
        <v>106</v>
      </c>
      <c r="C56" s="4" t="s">
        <v>114</v>
      </c>
    </row>
    <row r="57" spans="1:3">
      <c r="A57" s="4" t="s">
        <v>115</v>
      </c>
      <c r="B57" s="4">
        <v>107</v>
      </c>
      <c r="C57" s="4" t="s">
        <v>116</v>
      </c>
    </row>
    <row r="58" spans="1:3">
      <c r="A58" s="4" t="s">
        <v>117</v>
      </c>
      <c r="B58" s="4">
        <v>108</v>
      </c>
      <c r="C58" s="4" t="s">
        <v>110</v>
      </c>
    </row>
    <row r="59" spans="1:3">
      <c r="A59" s="4" t="s">
        <v>118</v>
      </c>
      <c r="B59" s="4">
        <v>-4151</v>
      </c>
      <c r="C59" s="4" t="s">
        <v>119</v>
      </c>
    </row>
    <row r="60" spans="1:3">
      <c r="A60" s="4" t="s">
        <v>154</v>
      </c>
      <c r="B60" s="4">
        <v>82</v>
      </c>
      <c r="C60" s="4" t="s">
        <v>120</v>
      </c>
    </row>
    <row r="61" spans="1:3">
      <c r="A61" s="4" t="s">
        <v>155</v>
      </c>
      <c r="B61" s="4">
        <v>81</v>
      </c>
      <c r="C61" s="4" t="s">
        <v>121</v>
      </c>
    </row>
    <row r="62" spans="1:3">
      <c r="A62" t="s">
        <v>122</v>
      </c>
      <c r="B62">
        <v>140</v>
      </c>
      <c r="C62" t="s">
        <v>123</v>
      </c>
    </row>
    <row r="63" spans="1:3">
      <c r="A63" s="4" t="s">
        <v>124</v>
      </c>
      <c r="B63" s="4">
        <v>88</v>
      </c>
      <c r="C63" s="4" t="s">
        <v>125</v>
      </c>
    </row>
    <row r="64" spans="1:3">
      <c r="A64" s="4" t="s">
        <v>126</v>
      </c>
      <c r="B64" s="4">
        <v>89</v>
      </c>
      <c r="C64" s="4" t="s">
        <v>127</v>
      </c>
    </row>
    <row r="65" spans="1:4">
      <c r="A65" s="4" t="s">
        <v>128</v>
      </c>
      <c r="B65" s="4">
        <v>90</v>
      </c>
      <c r="C65" s="4" t="s">
        <v>129</v>
      </c>
    </row>
    <row r="66" spans="1:4">
      <c r="A66" s="4" t="s">
        <v>130</v>
      </c>
      <c r="B66" s="4">
        <v>91</v>
      </c>
      <c r="C66" s="4" t="s">
        <v>131</v>
      </c>
    </row>
    <row r="67" spans="1:4">
      <c r="A67" s="4" t="s">
        <v>132</v>
      </c>
      <c r="B67" s="4">
        <v>83</v>
      </c>
      <c r="C67" s="4" t="s">
        <v>133</v>
      </c>
    </row>
    <row r="68" spans="1:4">
      <c r="A68" s="4" t="s">
        <v>134</v>
      </c>
      <c r="B68" s="4">
        <v>85</v>
      </c>
      <c r="C68" s="4" t="s">
        <v>135</v>
      </c>
    </row>
    <row r="69" spans="1:4">
      <c r="A69" s="4" t="s">
        <v>136</v>
      </c>
      <c r="B69" s="4">
        <v>86</v>
      </c>
      <c r="C69" s="4" t="s">
        <v>137</v>
      </c>
    </row>
    <row r="70" spans="1:4">
      <c r="A70" s="4" t="s">
        <v>138</v>
      </c>
      <c r="B70" s="4">
        <v>84</v>
      </c>
      <c r="C70" s="4" t="s">
        <v>139</v>
      </c>
    </row>
    <row r="71" spans="1:4">
      <c r="A71" s="4" t="s">
        <v>140</v>
      </c>
      <c r="B71" s="4">
        <v>-4169</v>
      </c>
      <c r="C71" s="4" t="s">
        <v>141</v>
      </c>
      <c r="D71" t="s">
        <v>156</v>
      </c>
    </row>
    <row r="72" spans="1:4">
      <c r="A72" s="4" t="s">
        <v>142</v>
      </c>
      <c r="B72" s="4">
        <v>74</v>
      </c>
      <c r="C72" s="4" t="s">
        <v>143</v>
      </c>
      <c r="D72" t="s">
        <v>156</v>
      </c>
    </row>
    <row r="73" spans="1:4">
      <c r="A73" s="4" t="s">
        <v>144</v>
      </c>
      <c r="B73" s="4">
        <v>75</v>
      </c>
      <c r="C73" s="4" t="s">
        <v>145</v>
      </c>
      <c r="D73" t="s">
        <v>156</v>
      </c>
    </row>
    <row r="74" spans="1:4">
      <c r="A74" s="4" t="s">
        <v>146</v>
      </c>
      <c r="B74" s="4">
        <v>72</v>
      </c>
      <c r="C74" s="4" t="s">
        <v>147</v>
      </c>
      <c r="D74" t="s">
        <v>156</v>
      </c>
    </row>
    <row r="75" spans="1:4">
      <c r="A75" s="4" t="s">
        <v>148</v>
      </c>
      <c r="B75" s="4">
        <v>73</v>
      </c>
      <c r="C75" s="4" t="s">
        <v>149</v>
      </c>
      <c r="D75" t="s">
        <v>156</v>
      </c>
    </row>
    <row r="76" spans="1:4">
      <c r="A76" s="4" t="s">
        <v>259</v>
      </c>
      <c r="B76" s="4">
        <v>-4111</v>
      </c>
      <c r="C76" s="4" t="s">
        <v>260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U42"/>
  <sheetViews>
    <sheetView zoomScale="115" zoomScaleNormal="115" workbookViewId="0"/>
  </sheetViews>
  <sheetFormatPr defaultRowHeight="13.5"/>
  <cols>
    <col min="1" max="1" width="12.625" bestFit="1" customWidth="1"/>
    <col min="2" max="3" width="16.5" bestFit="1" customWidth="1"/>
    <col min="4" max="5" width="8.5" bestFit="1" customWidth="1"/>
    <col min="6" max="6" width="8.375" bestFit="1" customWidth="1"/>
    <col min="7" max="7" width="17.75" bestFit="1" customWidth="1"/>
    <col min="8" max="8" width="9.75" bestFit="1" customWidth="1"/>
  </cols>
  <sheetData>
    <row r="1" spans="1:7">
      <c r="A1" t="s">
        <v>157</v>
      </c>
      <c r="B1" t="s">
        <v>225</v>
      </c>
      <c r="C1" t="s">
        <v>234</v>
      </c>
      <c r="D1" t="s">
        <v>233</v>
      </c>
      <c r="E1" t="s">
        <v>262</v>
      </c>
      <c r="F1" t="s">
        <v>251</v>
      </c>
      <c r="G1" t="s">
        <v>278</v>
      </c>
    </row>
    <row r="2" spans="1:7">
      <c r="A2" t="s">
        <v>284</v>
      </c>
      <c r="B2" t="b">
        <v>1</v>
      </c>
      <c r="C2" t="b">
        <v>0</v>
      </c>
      <c r="D2" t="b">
        <v>0</v>
      </c>
      <c r="E2" t="b">
        <v>1</v>
      </c>
      <c r="F2" t="b">
        <v>1</v>
      </c>
      <c r="G2" t="b">
        <v>1</v>
      </c>
    </row>
    <row r="3" spans="1:7">
      <c r="A3" t="s">
        <v>288</v>
      </c>
      <c r="B3" t="b">
        <v>0</v>
      </c>
      <c r="C3" t="b">
        <v>1</v>
      </c>
      <c r="D3" t="b">
        <v>0</v>
      </c>
      <c r="E3" t="b">
        <v>1</v>
      </c>
      <c r="F3" t="b">
        <v>1</v>
      </c>
      <c r="G3" t="b">
        <v>1</v>
      </c>
    </row>
    <row r="4" spans="1:7">
      <c r="A4" t="s">
        <v>331</v>
      </c>
      <c r="B4" t="b">
        <v>1</v>
      </c>
      <c r="C4" t="b">
        <v>1</v>
      </c>
      <c r="D4" t="b">
        <v>0</v>
      </c>
      <c r="E4" t="b">
        <v>1</v>
      </c>
      <c r="F4" t="b">
        <v>1</v>
      </c>
      <c r="G4" t="b">
        <v>1</v>
      </c>
    </row>
    <row r="5" spans="1:7">
      <c r="A5" t="s">
        <v>309</v>
      </c>
      <c r="B5" t="b">
        <v>1</v>
      </c>
      <c r="C5" t="b">
        <v>0</v>
      </c>
      <c r="D5" t="b">
        <v>0</v>
      </c>
      <c r="E5" t="b">
        <v>0</v>
      </c>
      <c r="F5" t="b">
        <v>1</v>
      </c>
      <c r="G5" t="b">
        <v>0</v>
      </c>
    </row>
    <row r="6" spans="1:7">
      <c r="A6" t="s">
        <v>310</v>
      </c>
      <c r="B6" t="s">
        <v>226</v>
      </c>
      <c r="C6" t="s">
        <v>235</v>
      </c>
      <c r="D6" t="s">
        <v>159</v>
      </c>
      <c r="E6" t="s">
        <v>263</v>
      </c>
      <c r="F6" t="s">
        <v>252</v>
      </c>
      <c r="G6" t="s">
        <v>279</v>
      </c>
    </row>
    <row r="7" spans="1:7">
      <c r="A7" t="s">
        <v>332</v>
      </c>
      <c r="B7" t="b">
        <v>1</v>
      </c>
      <c r="C7" t="b">
        <v>1</v>
      </c>
      <c r="D7" t="b">
        <v>1</v>
      </c>
      <c r="E7" t="b">
        <v>1</v>
      </c>
      <c r="F7" t="b">
        <v>1</v>
      </c>
      <c r="G7" t="b">
        <v>1</v>
      </c>
    </row>
    <row r="8" spans="1:7">
      <c r="A8" t="s">
        <v>333</v>
      </c>
      <c r="B8" t="s">
        <v>227</v>
      </c>
      <c r="C8" t="s">
        <v>236</v>
      </c>
      <c r="D8" t="s">
        <v>160</v>
      </c>
      <c r="E8" t="s">
        <v>264</v>
      </c>
      <c r="F8" t="s">
        <v>253</v>
      </c>
      <c r="G8" t="s">
        <v>273</v>
      </c>
    </row>
    <row r="9" spans="1:7">
      <c r="A9" t="s">
        <v>290</v>
      </c>
      <c r="B9" t="s">
        <v>228</v>
      </c>
      <c r="C9" t="s">
        <v>237</v>
      </c>
      <c r="D9" t="s">
        <v>224</v>
      </c>
      <c r="E9" t="s">
        <v>266</v>
      </c>
      <c r="F9" t="s">
        <v>254</v>
      </c>
      <c r="G9" t="s">
        <v>274</v>
      </c>
    </row>
    <row r="10" spans="1:7">
      <c r="A10" t="s">
        <v>311</v>
      </c>
      <c r="B10" t="b">
        <v>0</v>
      </c>
      <c r="C10" t="b">
        <v>0</v>
      </c>
      <c r="D10" t="b">
        <v>0</v>
      </c>
      <c r="E10" t="b">
        <v>1</v>
      </c>
      <c r="F10" t="b">
        <v>0</v>
      </c>
      <c r="G10" t="b">
        <v>1</v>
      </c>
    </row>
    <row r="11" spans="1:7">
      <c r="A11" t="s">
        <v>312</v>
      </c>
      <c r="B11" t="s">
        <v>228</v>
      </c>
      <c r="C11">
        <v>0</v>
      </c>
      <c r="D11" t="s">
        <v>224</v>
      </c>
      <c r="E11">
        <v>-10</v>
      </c>
      <c r="F11">
        <v>55900</v>
      </c>
      <c r="G11">
        <v>-10</v>
      </c>
    </row>
    <row r="12" spans="1:7">
      <c r="A12" t="s">
        <v>313</v>
      </c>
      <c r="B12" t="s">
        <v>228</v>
      </c>
      <c r="C12">
        <v>550</v>
      </c>
      <c r="D12" t="s">
        <v>224</v>
      </c>
      <c r="E12">
        <v>10</v>
      </c>
      <c r="F12">
        <v>56200</v>
      </c>
      <c r="G12">
        <v>10</v>
      </c>
    </row>
    <row r="13" spans="1:7">
      <c r="A13" t="s">
        <v>334</v>
      </c>
      <c r="B13">
        <v>0</v>
      </c>
      <c r="C13">
        <v>0</v>
      </c>
      <c r="D13" t="s">
        <v>224</v>
      </c>
      <c r="E13">
        <v>-10</v>
      </c>
      <c r="F13" t="s">
        <v>254</v>
      </c>
      <c r="G13">
        <v>-10</v>
      </c>
    </row>
    <row r="14" spans="1:7">
      <c r="A14" t="s">
        <v>314</v>
      </c>
      <c r="B14" t="s">
        <v>228</v>
      </c>
      <c r="C14" t="s">
        <v>237</v>
      </c>
      <c r="D14" t="s">
        <v>224</v>
      </c>
      <c r="E14">
        <v>10</v>
      </c>
      <c r="F14" t="s">
        <v>254</v>
      </c>
      <c r="G14">
        <v>10</v>
      </c>
    </row>
    <row r="15" spans="1:7">
      <c r="A15" t="s">
        <v>335</v>
      </c>
      <c r="B15" t="s">
        <v>228</v>
      </c>
      <c r="C15" t="s">
        <v>237</v>
      </c>
      <c r="D15" t="s">
        <v>224</v>
      </c>
      <c r="E15">
        <v>2</v>
      </c>
      <c r="F15" t="s">
        <v>254</v>
      </c>
      <c r="G15">
        <v>2</v>
      </c>
    </row>
    <row r="16" spans="1:7">
      <c r="A16" t="s">
        <v>289</v>
      </c>
      <c r="B16" t="s">
        <v>228</v>
      </c>
      <c r="C16">
        <v>50</v>
      </c>
      <c r="D16" t="s">
        <v>224</v>
      </c>
      <c r="E16">
        <v>2</v>
      </c>
      <c r="F16" t="s">
        <v>254</v>
      </c>
      <c r="G16">
        <v>2</v>
      </c>
    </row>
    <row r="17" spans="1:7">
      <c r="A17" t="s">
        <v>315</v>
      </c>
      <c r="B17" t="s">
        <v>229</v>
      </c>
      <c r="C17" t="s">
        <v>238</v>
      </c>
      <c r="D17" t="s">
        <v>217</v>
      </c>
      <c r="E17" t="s">
        <v>267</v>
      </c>
      <c r="F17" t="s">
        <v>255</v>
      </c>
      <c r="G17" t="s">
        <v>282</v>
      </c>
    </row>
    <row r="18" spans="1:7">
      <c r="A18" t="s">
        <v>316</v>
      </c>
      <c r="B18" t="s">
        <v>230</v>
      </c>
      <c r="C18" t="s">
        <v>239</v>
      </c>
      <c r="D18" t="s">
        <v>218</v>
      </c>
      <c r="E18" t="s">
        <v>268</v>
      </c>
      <c r="F18" t="s">
        <v>256</v>
      </c>
      <c r="G18" t="s">
        <v>275</v>
      </c>
    </row>
    <row r="19" spans="1:7">
      <c r="A19" t="s">
        <v>317</v>
      </c>
      <c r="B19">
        <v>50</v>
      </c>
      <c r="C19">
        <v>50</v>
      </c>
      <c r="D19">
        <v>50</v>
      </c>
      <c r="E19">
        <v>50</v>
      </c>
      <c r="F19">
        <v>50</v>
      </c>
      <c r="G19">
        <v>50</v>
      </c>
    </row>
    <row r="20" spans="1:7">
      <c r="A20" t="s">
        <v>318</v>
      </c>
      <c r="B20">
        <v>20</v>
      </c>
      <c r="C20">
        <v>20</v>
      </c>
      <c r="D20">
        <v>10</v>
      </c>
      <c r="E20">
        <v>10</v>
      </c>
      <c r="F20">
        <v>20</v>
      </c>
      <c r="G20">
        <v>10</v>
      </c>
    </row>
    <row r="21" spans="1:7">
      <c r="A21" t="s">
        <v>319</v>
      </c>
      <c r="B21">
        <v>20</v>
      </c>
      <c r="C21">
        <v>20</v>
      </c>
      <c r="D21">
        <v>20</v>
      </c>
      <c r="E21">
        <v>35</v>
      </c>
      <c r="F21">
        <v>20</v>
      </c>
      <c r="G21">
        <v>30</v>
      </c>
    </row>
    <row r="22" spans="1:7">
      <c r="A22" t="s">
        <v>320</v>
      </c>
      <c r="B22" t="s">
        <v>231</v>
      </c>
      <c r="C22" t="s">
        <v>240</v>
      </c>
      <c r="D22" t="s">
        <v>223</v>
      </c>
      <c r="E22" t="s">
        <v>269</v>
      </c>
      <c r="F22" t="s">
        <v>257</v>
      </c>
      <c r="G22" t="s">
        <v>276</v>
      </c>
    </row>
    <row r="23" spans="1:7">
      <c r="A23" t="s">
        <v>321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</row>
    <row r="24" spans="1:7">
      <c r="A24" t="s">
        <v>322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</row>
    <row r="25" spans="1:7">
      <c r="A25" t="s">
        <v>323</v>
      </c>
      <c r="B25" t="s">
        <v>232</v>
      </c>
      <c r="C25" t="s">
        <v>241</v>
      </c>
      <c r="D25" t="s">
        <v>219</v>
      </c>
      <c r="E25" t="s">
        <v>261</v>
      </c>
      <c r="F25" t="s">
        <v>258</v>
      </c>
      <c r="G25" t="s">
        <v>283</v>
      </c>
    </row>
    <row r="26" spans="1:7">
      <c r="A26" t="s">
        <v>324</v>
      </c>
      <c r="B26">
        <v>10</v>
      </c>
      <c r="C26">
        <v>10</v>
      </c>
      <c r="D26">
        <v>3</v>
      </c>
      <c r="E26">
        <v>11</v>
      </c>
      <c r="F26">
        <v>10</v>
      </c>
      <c r="G26">
        <v>11</v>
      </c>
    </row>
    <row r="27" spans="1:7">
      <c r="A27" t="s">
        <v>325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</row>
    <row r="28" spans="1:7">
      <c r="A28" t="s">
        <v>326</v>
      </c>
      <c r="B28" t="b">
        <v>0</v>
      </c>
      <c r="C28" t="b">
        <v>1</v>
      </c>
      <c r="D28" t="b">
        <v>0</v>
      </c>
      <c r="E28" t="b">
        <v>1</v>
      </c>
      <c r="F28" t="b">
        <v>1</v>
      </c>
      <c r="G28" t="b">
        <v>1</v>
      </c>
    </row>
    <row r="29" spans="1:7">
      <c r="A29" t="s">
        <v>327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</row>
    <row r="30" spans="1:7">
      <c r="A30" t="s">
        <v>328</v>
      </c>
      <c r="B30" t="b">
        <v>1</v>
      </c>
      <c r="C30" t="b">
        <v>1</v>
      </c>
      <c r="D30" t="b">
        <v>1</v>
      </c>
      <c r="E30" t="b">
        <v>1</v>
      </c>
      <c r="F30" t="b">
        <v>1</v>
      </c>
      <c r="G30" t="b">
        <v>1</v>
      </c>
    </row>
    <row r="31" spans="1:7">
      <c r="A31" t="s">
        <v>329</v>
      </c>
      <c r="D31" t="s">
        <v>162</v>
      </c>
      <c r="E31" t="s">
        <v>265</v>
      </c>
      <c r="F31" t="s">
        <v>254</v>
      </c>
      <c r="G31" t="s">
        <v>274</v>
      </c>
    </row>
    <row r="32" spans="1:7">
      <c r="A32" t="s">
        <v>330</v>
      </c>
      <c r="D32" t="s">
        <v>224</v>
      </c>
      <c r="E32" t="s">
        <v>270</v>
      </c>
      <c r="F32" t="s">
        <v>254</v>
      </c>
      <c r="G32" t="s">
        <v>274</v>
      </c>
    </row>
    <row r="33" spans="1:21">
      <c r="A33" t="s">
        <v>291</v>
      </c>
      <c r="D33" t="s">
        <v>224</v>
      </c>
      <c r="E33" t="s">
        <v>265</v>
      </c>
      <c r="F33" t="s">
        <v>254</v>
      </c>
      <c r="G33" t="s">
        <v>274</v>
      </c>
    </row>
    <row r="34" spans="1:21">
      <c r="A34" t="s">
        <v>292</v>
      </c>
      <c r="D34" t="s">
        <v>224</v>
      </c>
      <c r="E34" t="s">
        <v>271</v>
      </c>
      <c r="F34" t="s">
        <v>254</v>
      </c>
      <c r="G34" t="s">
        <v>280</v>
      </c>
    </row>
    <row r="35" spans="1:21">
      <c r="A35" t="s">
        <v>293</v>
      </c>
      <c r="D35" t="s">
        <v>224</v>
      </c>
      <c r="E35" t="s">
        <v>270</v>
      </c>
      <c r="F35" t="s">
        <v>254</v>
      </c>
      <c r="G35" t="s">
        <v>281</v>
      </c>
    </row>
    <row r="36" spans="1:21">
      <c r="A36" t="s">
        <v>294</v>
      </c>
      <c r="D36" t="s">
        <v>224</v>
      </c>
      <c r="E36" t="s">
        <v>265</v>
      </c>
      <c r="F36" t="s">
        <v>254</v>
      </c>
      <c r="G36" t="s">
        <v>274</v>
      </c>
    </row>
    <row r="37" spans="1:21">
      <c r="A37" t="s">
        <v>295</v>
      </c>
      <c r="D37" t="s">
        <v>224</v>
      </c>
      <c r="E37" t="s">
        <v>272</v>
      </c>
      <c r="F37" t="s">
        <v>254</v>
      </c>
      <c r="G37" t="s">
        <v>274</v>
      </c>
    </row>
    <row r="38" spans="1:21">
      <c r="A38" t="s">
        <v>296</v>
      </c>
      <c r="D38" t="s">
        <v>224</v>
      </c>
      <c r="E38" t="s">
        <v>266</v>
      </c>
      <c r="F38" t="s">
        <v>254</v>
      </c>
      <c r="G38" t="s">
        <v>277</v>
      </c>
    </row>
    <row r="39" spans="1:21">
      <c r="A39" t="s">
        <v>297</v>
      </c>
      <c r="D39" t="s">
        <v>224</v>
      </c>
      <c r="E39" t="s">
        <v>265</v>
      </c>
      <c r="F39" t="s">
        <v>254</v>
      </c>
      <c r="G39" t="s">
        <v>281</v>
      </c>
    </row>
    <row r="40" spans="1:21">
      <c r="A40" t="s">
        <v>298</v>
      </c>
      <c r="D40" t="s">
        <v>224</v>
      </c>
      <c r="E40" t="s">
        <v>265</v>
      </c>
      <c r="F40" t="s">
        <v>254</v>
      </c>
      <c r="G40" t="s">
        <v>274</v>
      </c>
    </row>
    <row r="41" spans="1:21">
      <c r="A41" t="s">
        <v>299</v>
      </c>
      <c r="B41" t="b">
        <v>0</v>
      </c>
      <c r="C41" t="b">
        <v>0</v>
      </c>
      <c r="D41" t="b">
        <v>1</v>
      </c>
      <c r="E41" t="b">
        <v>0</v>
      </c>
      <c r="F41" t="b">
        <v>0</v>
      </c>
      <c r="G41" t="b">
        <v>0</v>
      </c>
      <c r="T41" t="b">
        <v>0</v>
      </c>
      <c r="U41" t="b">
        <v>0</v>
      </c>
    </row>
    <row r="42" spans="1:21">
      <c r="A42" t="s">
        <v>300</v>
      </c>
      <c r="B42" t="b">
        <v>1</v>
      </c>
      <c r="C42" t="b">
        <v>1</v>
      </c>
      <c r="D42" t="b">
        <v>1</v>
      </c>
      <c r="E42" t="b">
        <v>1</v>
      </c>
      <c r="F42" t="b">
        <v>1</v>
      </c>
      <c r="G42" t="b">
        <v>1</v>
      </c>
      <c r="T42" t="b">
        <v>1</v>
      </c>
      <c r="U42" t="b">
        <v>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FF0000"/>
  </sheetPr>
  <dimension ref="A1:I11"/>
  <sheetViews>
    <sheetView zoomScale="160" zoomScaleNormal="160" workbookViewId="0">
      <selection sqref="A1:I11"/>
    </sheetView>
  </sheetViews>
  <sheetFormatPr defaultRowHeight="13.5"/>
  <cols>
    <col min="1" max="1" width="8.75" bestFit="1" customWidth="1"/>
    <col min="2" max="2" width="28.125" bestFit="1" customWidth="1"/>
    <col min="3" max="3" width="17.875" bestFit="1" customWidth="1"/>
    <col min="4" max="4" width="4.5" bestFit="1" customWidth="1"/>
    <col min="5" max="5" width="5.125" bestFit="1" customWidth="1"/>
    <col min="6" max="9" width="9.5" bestFit="1" customWidth="1"/>
  </cols>
  <sheetData>
    <row r="1" spans="1:9">
      <c r="A1" t="s">
        <v>242</v>
      </c>
      <c r="B1" t="s">
        <v>243</v>
      </c>
      <c r="C1" t="s">
        <v>244</v>
      </c>
      <c r="D1" t="s">
        <v>245</v>
      </c>
      <c r="E1" t="s">
        <v>246</v>
      </c>
      <c r="F1" t="s">
        <v>247</v>
      </c>
      <c r="G1" t="s">
        <v>248</v>
      </c>
      <c r="H1" t="s">
        <v>249</v>
      </c>
      <c r="I1" t="s">
        <v>250</v>
      </c>
    </row>
    <row r="2" spans="1:9">
      <c r="A2" t="s">
        <v>285</v>
      </c>
      <c r="B2" t="s">
        <v>287</v>
      </c>
      <c r="C2" t="s">
        <v>141</v>
      </c>
      <c r="D2">
        <v>10</v>
      </c>
      <c r="E2">
        <v>20</v>
      </c>
      <c r="F2">
        <v>-10</v>
      </c>
      <c r="G2">
        <v>10</v>
      </c>
      <c r="H2">
        <v>-10</v>
      </c>
      <c r="I2">
        <v>10</v>
      </c>
    </row>
    <row r="3" spans="1:9">
      <c r="A3" t="s">
        <v>286</v>
      </c>
      <c r="B3" t="s">
        <v>287</v>
      </c>
      <c r="C3" t="s">
        <v>141</v>
      </c>
      <c r="D3">
        <v>10</v>
      </c>
      <c r="E3">
        <v>20</v>
      </c>
      <c r="F3">
        <v>-10</v>
      </c>
      <c r="G3">
        <v>10</v>
      </c>
      <c r="H3">
        <v>-10</v>
      </c>
      <c r="I3">
        <v>10</v>
      </c>
    </row>
    <row r="4" spans="1:9">
      <c r="A4" t="s">
        <v>301</v>
      </c>
      <c r="B4" t="s">
        <v>287</v>
      </c>
      <c r="C4" t="s">
        <v>141</v>
      </c>
      <c r="D4">
        <v>6</v>
      </c>
      <c r="E4">
        <v>20</v>
      </c>
      <c r="F4">
        <v>-10</v>
      </c>
      <c r="G4">
        <v>10</v>
      </c>
      <c r="H4">
        <v>-10</v>
      </c>
      <c r="I4">
        <v>10</v>
      </c>
    </row>
    <row r="5" spans="1:9">
      <c r="A5" t="s">
        <v>302</v>
      </c>
      <c r="B5" t="s">
        <v>287</v>
      </c>
      <c r="C5" t="s">
        <v>141</v>
      </c>
      <c r="D5">
        <v>6</v>
      </c>
      <c r="E5">
        <v>20</v>
      </c>
      <c r="F5">
        <v>-10</v>
      </c>
      <c r="G5">
        <v>10</v>
      </c>
      <c r="H5">
        <v>-10</v>
      </c>
      <c r="I5">
        <v>10</v>
      </c>
    </row>
    <row r="6" spans="1:9">
      <c r="A6" t="s">
        <v>303</v>
      </c>
      <c r="B6" t="s">
        <v>287</v>
      </c>
      <c r="C6" t="s">
        <v>141</v>
      </c>
      <c r="D6">
        <v>10</v>
      </c>
      <c r="E6">
        <v>20</v>
      </c>
      <c r="F6">
        <v>-10</v>
      </c>
      <c r="G6">
        <v>10</v>
      </c>
      <c r="H6">
        <v>-10</v>
      </c>
      <c r="I6">
        <v>10</v>
      </c>
    </row>
    <row r="7" spans="1:9">
      <c r="A7" t="s">
        <v>304</v>
      </c>
      <c r="B7" t="s">
        <v>287</v>
      </c>
      <c r="C7" t="s">
        <v>141</v>
      </c>
      <c r="D7">
        <v>10</v>
      </c>
      <c r="E7">
        <v>20</v>
      </c>
      <c r="F7">
        <v>-10</v>
      </c>
      <c r="G7">
        <v>10</v>
      </c>
      <c r="H7">
        <v>-10</v>
      </c>
      <c r="I7">
        <v>10</v>
      </c>
    </row>
    <row r="8" spans="1:9">
      <c r="A8" t="s">
        <v>305</v>
      </c>
      <c r="B8" t="s">
        <v>287</v>
      </c>
      <c r="C8" t="s">
        <v>141</v>
      </c>
      <c r="D8">
        <v>10</v>
      </c>
      <c r="E8">
        <v>20</v>
      </c>
      <c r="F8">
        <v>-10</v>
      </c>
      <c r="G8">
        <v>10</v>
      </c>
      <c r="H8">
        <v>-10</v>
      </c>
      <c r="I8">
        <v>10</v>
      </c>
    </row>
    <row r="9" spans="1:9">
      <c r="A9" t="s">
        <v>306</v>
      </c>
      <c r="B9" t="s">
        <v>287</v>
      </c>
      <c r="C9" t="s">
        <v>141</v>
      </c>
      <c r="D9">
        <v>10</v>
      </c>
      <c r="E9">
        <v>20</v>
      </c>
      <c r="F9">
        <v>-10</v>
      </c>
      <c r="G9">
        <v>10</v>
      </c>
      <c r="H9">
        <v>-10</v>
      </c>
      <c r="I9">
        <v>10</v>
      </c>
    </row>
    <row r="10" spans="1:9">
      <c r="A10" t="s">
        <v>307</v>
      </c>
      <c r="B10" t="s">
        <v>287</v>
      </c>
      <c r="C10" t="s">
        <v>141</v>
      </c>
      <c r="D10">
        <v>8</v>
      </c>
      <c r="E10">
        <v>20</v>
      </c>
      <c r="F10">
        <v>-10</v>
      </c>
      <c r="G10">
        <v>10</v>
      </c>
      <c r="H10">
        <v>-10</v>
      </c>
      <c r="I10">
        <v>10</v>
      </c>
    </row>
    <row r="11" spans="1:9">
      <c r="A11" t="s">
        <v>308</v>
      </c>
      <c r="B11" t="s">
        <v>287</v>
      </c>
      <c r="C11" t="s">
        <v>141</v>
      </c>
      <c r="D11">
        <v>8</v>
      </c>
      <c r="E11">
        <v>20</v>
      </c>
      <c r="F11">
        <v>-10</v>
      </c>
      <c r="G11">
        <v>10</v>
      </c>
      <c r="H11">
        <v>-10</v>
      </c>
      <c r="I11">
        <v>10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G18:W36"/>
  <sheetViews>
    <sheetView topLeftCell="J11" zoomScale="160" zoomScaleNormal="160" workbookViewId="0">
      <selection activeCell="O33" sqref="O33"/>
    </sheetView>
  </sheetViews>
  <sheetFormatPr defaultRowHeight="13.5"/>
  <cols>
    <col min="17" max="17" width="9.5" bestFit="1" customWidth="1"/>
  </cols>
  <sheetData>
    <row r="18" spans="7:23">
      <c r="G18" t="s">
        <v>177</v>
      </c>
      <c r="H18" t="s">
        <v>178</v>
      </c>
      <c r="I18" t="s">
        <v>168</v>
      </c>
      <c r="N18" t="s">
        <v>167</v>
      </c>
      <c r="O18" t="s">
        <v>369</v>
      </c>
      <c r="P18" t="s">
        <v>368</v>
      </c>
      <c r="T18" t="s">
        <v>163</v>
      </c>
      <c r="U18">
        <v>192</v>
      </c>
      <c r="V18">
        <v>0</v>
      </c>
      <c r="W18">
        <v>0</v>
      </c>
    </row>
    <row r="19" spans="7:23">
      <c r="G19">
        <v>192</v>
      </c>
      <c r="H19">
        <v>0</v>
      </c>
      <c r="I19">
        <v>0</v>
      </c>
      <c r="K19" t="str">
        <f>DEC2HEX(G19)</f>
        <v>C0</v>
      </c>
      <c r="L19" s="11" t="s">
        <v>358</v>
      </c>
      <c r="M19" s="11" t="s">
        <v>358</v>
      </c>
      <c r="N19" t="s">
        <v>163</v>
      </c>
      <c r="O19" t="str">
        <f>K19&amp;L19&amp;M19</f>
        <v>C00000</v>
      </c>
      <c r="T19" t="s">
        <v>222</v>
      </c>
      <c r="U19">
        <v>255</v>
      </c>
      <c r="V19">
        <v>0</v>
      </c>
      <c r="W19">
        <v>0</v>
      </c>
    </row>
    <row r="20" spans="7:23">
      <c r="G20">
        <v>255</v>
      </c>
      <c r="H20">
        <v>0</v>
      </c>
      <c r="I20">
        <v>0</v>
      </c>
      <c r="K20" t="str">
        <f t="shared" ref="K20:K31" si="0">DEC2HEX(G20)</f>
        <v>FF</v>
      </c>
      <c r="L20" s="11" t="s">
        <v>358</v>
      </c>
      <c r="M20" s="11" t="s">
        <v>358</v>
      </c>
      <c r="N20" t="s">
        <v>222</v>
      </c>
      <c r="O20" t="str">
        <f t="shared" ref="O20:O31" si="1">K20&amp;L20&amp;M20</f>
        <v>FF0000</v>
      </c>
      <c r="P20" t="s">
        <v>359</v>
      </c>
      <c r="T20" t="s">
        <v>9</v>
      </c>
      <c r="U20">
        <v>255</v>
      </c>
      <c r="V20">
        <v>192</v>
      </c>
      <c r="W20">
        <v>0</v>
      </c>
    </row>
    <row r="21" spans="7:23">
      <c r="G21">
        <v>255</v>
      </c>
      <c r="H21">
        <v>192</v>
      </c>
      <c r="I21">
        <v>0</v>
      </c>
      <c r="K21" t="str">
        <f t="shared" si="0"/>
        <v>FF</v>
      </c>
      <c r="L21" t="str">
        <f t="shared" ref="L21:L31" si="2">DEC2HEX(H21)</f>
        <v>C0</v>
      </c>
      <c r="M21" s="11" t="s">
        <v>358</v>
      </c>
      <c r="N21" t="s">
        <v>9</v>
      </c>
      <c r="O21" t="str">
        <f t="shared" si="1"/>
        <v>FFC000</v>
      </c>
      <c r="T21" t="s">
        <v>6</v>
      </c>
      <c r="U21">
        <v>255</v>
      </c>
      <c r="V21">
        <v>255</v>
      </c>
      <c r="W21">
        <v>0</v>
      </c>
    </row>
    <row r="22" spans="7:23">
      <c r="M22" s="11"/>
      <c r="O22" t="s">
        <v>365</v>
      </c>
      <c r="P22" t="s">
        <v>364</v>
      </c>
      <c r="T22" t="s">
        <v>165</v>
      </c>
      <c r="U22">
        <v>146</v>
      </c>
      <c r="V22">
        <v>208</v>
      </c>
      <c r="W22">
        <v>80</v>
      </c>
    </row>
    <row r="23" spans="7:23">
      <c r="G23">
        <v>255</v>
      </c>
      <c r="H23">
        <v>255</v>
      </c>
      <c r="I23">
        <v>0</v>
      </c>
      <c r="K23" t="str">
        <f t="shared" si="0"/>
        <v>FF</v>
      </c>
      <c r="L23" t="str">
        <f t="shared" si="2"/>
        <v>FF</v>
      </c>
      <c r="M23" s="11" t="s">
        <v>358</v>
      </c>
      <c r="N23" t="s">
        <v>6</v>
      </c>
      <c r="O23" t="str">
        <f t="shared" si="1"/>
        <v>FFFF00</v>
      </c>
      <c r="P23" t="s">
        <v>372</v>
      </c>
      <c r="T23" t="s">
        <v>7</v>
      </c>
      <c r="U23">
        <v>0</v>
      </c>
      <c r="V23">
        <v>176</v>
      </c>
      <c r="W23">
        <v>80</v>
      </c>
    </row>
    <row r="24" spans="7:23">
      <c r="G24">
        <v>146</v>
      </c>
      <c r="H24">
        <v>208</v>
      </c>
      <c r="I24">
        <v>80</v>
      </c>
      <c r="K24" t="str">
        <f t="shared" si="0"/>
        <v>92</v>
      </c>
      <c r="L24" t="str">
        <f t="shared" si="2"/>
        <v>D0</v>
      </c>
      <c r="M24" t="str">
        <f t="shared" ref="M24:M31" si="3">DEC2HEX(I24)</f>
        <v>50</v>
      </c>
      <c r="N24" t="s">
        <v>165</v>
      </c>
      <c r="O24" t="str">
        <f t="shared" si="1"/>
        <v>92D050</v>
      </c>
      <c r="T24" t="s">
        <v>164</v>
      </c>
      <c r="U24">
        <v>0</v>
      </c>
      <c r="V24">
        <v>176</v>
      </c>
      <c r="W24">
        <v>240</v>
      </c>
    </row>
    <row r="25" spans="7:23">
      <c r="G25">
        <v>0</v>
      </c>
      <c r="H25">
        <v>176</v>
      </c>
      <c r="I25">
        <v>80</v>
      </c>
      <c r="K25" s="11" t="s">
        <v>358</v>
      </c>
      <c r="L25" t="str">
        <f t="shared" si="2"/>
        <v>B0</v>
      </c>
      <c r="M25" t="str">
        <f t="shared" si="3"/>
        <v>50</v>
      </c>
      <c r="N25" t="s">
        <v>7</v>
      </c>
      <c r="O25" t="str">
        <f t="shared" si="1"/>
        <v>00B050</v>
      </c>
      <c r="T25" t="s">
        <v>8</v>
      </c>
      <c r="U25">
        <v>0</v>
      </c>
      <c r="V25">
        <v>112</v>
      </c>
      <c r="W25">
        <v>192</v>
      </c>
    </row>
    <row r="26" spans="7:23">
      <c r="G26">
        <v>0</v>
      </c>
      <c r="H26">
        <v>176</v>
      </c>
      <c r="I26">
        <v>240</v>
      </c>
      <c r="K26" s="11" t="s">
        <v>358</v>
      </c>
      <c r="L26" t="str">
        <f t="shared" si="2"/>
        <v>B0</v>
      </c>
      <c r="M26" t="str">
        <f t="shared" si="3"/>
        <v>F0</v>
      </c>
      <c r="N26" t="s">
        <v>164</v>
      </c>
      <c r="O26" t="str">
        <f t="shared" si="1"/>
        <v>00B0F0</v>
      </c>
      <c r="T26" t="s">
        <v>166</v>
      </c>
      <c r="U26">
        <v>0</v>
      </c>
      <c r="V26">
        <v>32</v>
      </c>
      <c r="W26">
        <v>96</v>
      </c>
    </row>
    <row r="27" spans="7:23">
      <c r="G27">
        <v>0</v>
      </c>
      <c r="H27">
        <v>112</v>
      </c>
      <c r="I27">
        <v>192</v>
      </c>
      <c r="K27" s="11" t="s">
        <v>358</v>
      </c>
      <c r="L27" t="str">
        <f t="shared" si="2"/>
        <v>70</v>
      </c>
      <c r="M27" t="str">
        <f t="shared" si="3"/>
        <v>C0</v>
      </c>
      <c r="N27" t="s">
        <v>8</v>
      </c>
      <c r="O27" t="str">
        <f t="shared" si="1"/>
        <v>0070C0</v>
      </c>
      <c r="T27" t="s">
        <v>10</v>
      </c>
      <c r="U27">
        <v>112</v>
      </c>
      <c r="V27">
        <v>48</v>
      </c>
      <c r="W27">
        <v>160</v>
      </c>
    </row>
    <row r="28" spans="7:23">
      <c r="G28">
        <v>0</v>
      </c>
      <c r="H28">
        <v>32</v>
      </c>
      <c r="I28">
        <v>96</v>
      </c>
      <c r="K28" s="11" t="s">
        <v>358</v>
      </c>
      <c r="L28" t="str">
        <f t="shared" si="2"/>
        <v>20</v>
      </c>
      <c r="M28" t="str">
        <f t="shared" si="3"/>
        <v>60</v>
      </c>
      <c r="N28" t="s">
        <v>166</v>
      </c>
      <c r="O28" t="str">
        <f t="shared" si="1"/>
        <v>002060</v>
      </c>
      <c r="T28" t="s">
        <v>169</v>
      </c>
      <c r="U28">
        <v>192</v>
      </c>
      <c r="V28">
        <v>192</v>
      </c>
      <c r="W28">
        <v>192</v>
      </c>
    </row>
    <row r="29" spans="7:23">
      <c r="G29">
        <v>112</v>
      </c>
      <c r="H29">
        <v>48</v>
      </c>
      <c r="I29">
        <v>160</v>
      </c>
      <c r="K29" t="str">
        <f t="shared" si="0"/>
        <v>70</v>
      </c>
      <c r="L29" t="str">
        <f t="shared" si="2"/>
        <v>30</v>
      </c>
      <c r="M29" t="str">
        <f t="shared" si="3"/>
        <v>A0</v>
      </c>
      <c r="N29" t="s">
        <v>10</v>
      </c>
      <c r="O29" t="str">
        <f t="shared" si="1"/>
        <v>7030A0</v>
      </c>
      <c r="T29" t="s">
        <v>11</v>
      </c>
      <c r="U29">
        <v>150</v>
      </c>
      <c r="V29">
        <v>150</v>
      </c>
      <c r="W29">
        <v>150</v>
      </c>
    </row>
    <row r="30" spans="7:23">
      <c r="G30">
        <v>192</v>
      </c>
      <c r="H30">
        <v>192</v>
      </c>
      <c r="I30">
        <v>192</v>
      </c>
      <c r="K30" t="str">
        <f t="shared" si="0"/>
        <v>C0</v>
      </c>
      <c r="L30" t="str">
        <f t="shared" si="2"/>
        <v>C0</v>
      </c>
      <c r="M30" t="str">
        <f t="shared" si="3"/>
        <v>C0</v>
      </c>
      <c r="N30" t="s">
        <v>169</v>
      </c>
      <c r="O30" t="str">
        <f t="shared" si="1"/>
        <v>C0C0C0</v>
      </c>
    </row>
    <row r="31" spans="7:23">
      <c r="G31">
        <v>150</v>
      </c>
      <c r="H31">
        <v>150</v>
      </c>
      <c r="I31">
        <v>150</v>
      </c>
      <c r="K31" t="str">
        <f t="shared" si="0"/>
        <v>96</v>
      </c>
      <c r="L31" t="str">
        <f t="shared" si="2"/>
        <v>96</v>
      </c>
      <c r="M31" t="str">
        <f t="shared" si="3"/>
        <v>96</v>
      </c>
      <c r="N31" t="s">
        <v>11</v>
      </c>
      <c r="O31" t="str">
        <f t="shared" si="1"/>
        <v>969696</v>
      </c>
    </row>
    <row r="33" spans="15:16">
      <c r="O33" t="s">
        <v>360</v>
      </c>
      <c r="P33" t="s">
        <v>361</v>
      </c>
    </row>
    <row r="34" spans="15:16">
      <c r="O34" t="s">
        <v>367</v>
      </c>
      <c r="P34" t="s">
        <v>366</v>
      </c>
    </row>
    <row r="35" spans="15:16">
      <c r="O35" t="s">
        <v>363</v>
      </c>
      <c r="P35" t="s">
        <v>362</v>
      </c>
    </row>
    <row r="36" spans="15:16">
      <c r="O36" t="s">
        <v>371</v>
      </c>
      <c r="P36" t="s">
        <v>370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Sheet_2</vt:lpstr>
      <vt:lpstr>Sheet1</vt:lpstr>
      <vt:lpstr>お試し</vt:lpstr>
      <vt:lpstr>色</vt:lpstr>
      <vt:lpstr>ChartType</vt:lpstr>
      <vt:lpstr>profile</vt:lpstr>
      <vt:lpstr>グラフ一覧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2016mujig2</dc:creator>
  <cp:lastModifiedBy>吉村元一</cp:lastModifiedBy>
  <dcterms:created xsi:type="dcterms:W3CDTF">2018-07-17T08:33:51Z</dcterms:created>
  <dcterms:modified xsi:type="dcterms:W3CDTF">2021-04-05T12:21:25Z</dcterms:modified>
</cp:coreProperties>
</file>